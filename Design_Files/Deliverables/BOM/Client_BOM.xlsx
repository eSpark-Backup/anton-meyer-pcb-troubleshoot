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<sst xmlns="http://schemas.openxmlformats.org/spreadsheetml/2006/main" count="302" uniqueCount="159">
  <si>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</si>
  <si>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</si>
  <si>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</si>
  <si>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</si>
  <si>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</si>
  <si>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</si>
  <si>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</si>
  <si>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</si>
  <si>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</si>
  <si>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</si>
  <si>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 xml:space="preserve">Antenna </t>
  </si>
  <si>
    <t>ANT1</t>
  </si>
  <si>
    <t>PCB板载天线</t>
  </si>
  <si>
    <t>2.4GÌìÏß</t>
  </si>
  <si>
    <t>-</t>
  </si>
  <si>
    <t>2.4G</t>
  </si>
  <si>
    <t>Capacitor</t>
  </si>
  <si>
    <t>C1</t>
  </si>
  <si>
    <t>Polarized Capacitor (Axial)</t>
  </si>
  <si>
    <t>INDC3216</t>
  </si>
  <si>
    <t>CA45A-A-25V-2.2UF-K</t>
  </si>
  <si>
    <t>C2, C5, C7, C9, C13, C18, C19, C20, C21, C22, C24, C29, C30, C31</t>
  </si>
  <si>
    <t>C 0402_L</t>
  </si>
  <si>
    <t>0.1uF/25V</t>
  </si>
  <si>
    <t>C3, C4</t>
  </si>
  <si>
    <t>0.4pF/25V</t>
  </si>
  <si>
    <t>C6, C8</t>
  </si>
  <si>
    <t>10uF/10V</t>
  </si>
  <si>
    <t>C10, C11</t>
  </si>
  <si>
    <t>20pF/25V</t>
  </si>
  <si>
    <t>C12</t>
  </si>
  <si>
    <t>1uF/10V</t>
  </si>
  <si>
    <t>C14</t>
  </si>
  <si>
    <t>Generic Components</t>
  </si>
  <si>
    <t>22uF/10V</t>
  </si>
  <si>
    <t>C15</t>
  </si>
  <si>
    <t>10pF/10V</t>
  </si>
  <si>
    <t>C16</t>
  </si>
  <si>
    <t>8.2nF/25V</t>
  </si>
  <si>
    <t>C17</t>
  </si>
  <si>
    <t>C0805</t>
  </si>
  <si>
    <t>22uF/25V</t>
  </si>
  <si>
    <t>C23</t>
  </si>
  <si>
    <t>10nF/25V</t>
  </si>
  <si>
    <t>C25</t>
  </si>
  <si>
    <t>50V 330pF X7R ±10% 0402 Multilayer Ceramic Capacitors MLCC - SMD/SMT ROHS</t>
  </si>
  <si>
    <t>Cap-0402</t>
  </si>
  <si>
    <t>CC0402KRX7R9BB331</t>
  </si>
  <si>
    <t>YAGEO</t>
  </si>
  <si>
    <t>330pF</t>
  </si>
  <si>
    <t>C26</t>
  </si>
  <si>
    <t>15nF/25V</t>
  </si>
  <si>
    <t>C27</t>
  </si>
  <si>
    <t>0.1uF/10V</t>
  </si>
  <si>
    <t>C28</t>
  </si>
  <si>
    <t>1uF/25V</t>
  </si>
  <si>
    <t>Diode</t>
  </si>
  <si>
    <t>ESD1, ESD2, ESD3</t>
  </si>
  <si>
    <t>X1-DFN1006-2_L1.0-W0.6-RD</t>
  </si>
  <si>
    <t>ESD5311N-2/TR</t>
  </si>
  <si>
    <t>Fuse</t>
  </si>
  <si>
    <t>F6</t>
  </si>
  <si>
    <t>R 0805_L</t>
  </si>
  <si>
    <t>Jinrui Electronic Materials Co.</t>
  </si>
  <si>
    <t>6V1A</t>
  </si>
  <si>
    <t>Connector</t>
  </si>
  <si>
    <t>J1</t>
  </si>
  <si>
    <t>USB to Serial Port Chip</t>
  </si>
  <si>
    <t>*SOP100P600X160-11N</t>
  </si>
  <si>
    <t>CH340K</t>
  </si>
  <si>
    <t>JP1</t>
  </si>
  <si>
    <t>5P接插件</t>
  </si>
  <si>
    <t>XH2.54-LI-5P</t>
  </si>
  <si>
    <t>HDR-1X5</t>
  </si>
  <si>
    <t>JP2</t>
  </si>
  <si>
    <t>2P接插件</t>
  </si>
  <si>
    <t>SENSOR-TH_GU12XXC-40XX</t>
  </si>
  <si>
    <t>超声波探头_C242180</t>
  </si>
  <si>
    <t>Switch</t>
  </si>
  <si>
    <t>KEY1</t>
  </si>
  <si>
    <t>直插6x6轻触开关</t>
  </si>
  <si>
    <t>TSW SMD-6*6*5</t>
  </si>
  <si>
    <t>6*6*5</t>
  </si>
  <si>
    <t>Inductor</t>
  </si>
  <si>
    <t>L1</t>
  </si>
  <si>
    <t>R 0402_L</t>
  </si>
  <si>
    <t>0R1%</t>
  </si>
  <si>
    <t>L2</t>
  </si>
  <si>
    <t>IND_CLF7045T-3R3N-D</t>
  </si>
  <si>
    <t>CLF7045T-3R3N-D</t>
  </si>
  <si>
    <t>LED</t>
  </si>
  <si>
    <t>LED1</t>
  </si>
  <si>
    <t>5mm草帽LED</t>
  </si>
  <si>
    <t>LED 0603B</t>
  </si>
  <si>
    <t>GREEN</t>
  </si>
  <si>
    <t>Mosfet</t>
  </si>
  <si>
    <t>Q1, Q2</t>
  </si>
  <si>
    <t>SOT23-3L</t>
  </si>
  <si>
    <t>WPMtek(维攀微)</t>
  </si>
  <si>
    <t>S8050</t>
  </si>
  <si>
    <t>Resistor</t>
  </si>
  <si>
    <t>R1</t>
  </si>
  <si>
    <t>1K</t>
  </si>
  <si>
    <t>R2, R4, R8, R11, R26, R27</t>
  </si>
  <si>
    <t>10K</t>
  </si>
  <si>
    <t>R3</t>
  </si>
  <si>
    <t>84.5K</t>
  </si>
  <si>
    <t>R5, R6</t>
  </si>
  <si>
    <t>RES 5.1K OHM 1% 1/16W 0402</t>
  </si>
  <si>
    <t>Res-0402</t>
  </si>
  <si>
    <t>RC0402FR-075K1L</t>
  </si>
  <si>
    <t>Yageo</t>
  </si>
  <si>
    <t>5.1K</t>
  </si>
  <si>
    <t>R12</t>
  </si>
  <si>
    <t>25.5K</t>
  </si>
  <si>
    <t>R24</t>
  </si>
  <si>
    <t>200R</t>
  </si>
  <si>
    <t>R25</t>
  </si>
  <si>
    <t>RES 100K OHM 1% 1/16W 0402</t>
  </si>
  <si>
    <t>RC0402FR-07100KL</t>
  </si>
  <si>
    <t>100K</t>
  </si>
  <si>
    <t>IC</t>
  </si>
  <si>
    <t>U</t>
  </si>
  <si>
    <t>4.5V to 23V Input, 3A Synchronous Step-Down Converter with D-CAP2 Mode and Light Load Efficiency 8-SO PowerPAD -40 to 85</t>
  </si>
  <si>
    <t>VREG_LM5017MR/NOPB</t>
  </si>
  <si>
    <t>TPS54339DDA</t>
  </si>
  <si>
    <t>U1</t>
  </si>
  <si>
    <t>HDR-TH_5P-P1.27-V-M</t>
  </si>
  <si>
    <t>HLK-LD2410B</t>
  </si>
  <si>
    <t>U2</t>
  </si>
  <si>
    <t>RF System on a Chip - SoC SMD Wi-Fi IC ESP32-S2FN4R2, single-core MCU, 4 MB flash and 2 MB PSRAM inside, QFN 56-pin, 7*7 mm</t>
  </si>
  <si>
    <t>QFN40P700X700X90-57N</t>
  </si>
  <si>
    <t>ESP32-S2FN4R2</t>
  </si>
  <si>
    <t>U3</t>
  </si>
  <si>
    <t>达林顿驱动芯片</t>
  </si>
  <si>
    <t>SOP16</t>
  </si>
  <si>
    <t>ULN2003</t>
  </si>
  <si>
    <t>U4</t>
  </si>
  <si>
    <t>ULTRASONIC SENSOR I/F FOR PARK A</t>
  </si>
  <si>
    <t>QFN50P400X400X80-21N</t>
  </si>
  <si>
    <t>TUSS4470TRTJT</t>
  </si>
  <si>
    <t>U5</t>
  </si>
  <si>
    <t>INTEGRATED LIGHT SOURCE INTELLIGENT CONTROL OF
CHIP-ON-TOP SMD TYPE LED</t>
  </si>
  <si>
    <t>SK6812 SIDE-A</t>
  </si>
  <si>
    <t>Sensor</t>
  </si>
  <si>
    <t>U8</t>
  </si>
  <si>
    <t>LGA-8(2x2.5) Pressure Sensors ROHS</t>
  </si>
  <si>
    <t>SPL06-001</t>
  </si>
  <si>
    <t>Goertek</t>
  </si>
  <si>
    <t>Type-C SMD USB</t>
  </si>
  <si>
    <t>USB1</t>
  </si>
  <si>
    <t>3A 1 Surface Mount，Right Angle 16P Female -40℃~+85℃ Type-C SMD USB Connectors ROHS</t>
  </si>
  <si>
    <t>KH-TYPE-C-16P</t>
  </si>
  <si>
    <t>Shenzhen Kinghelm Elec</t>
  </si>
  <si>
    <t>Crystal</t>
  </si>
  <si>
    <t>X1</t>
  </si>
  <si>
    <t>MC系列4脚晶振</t>
  </si>
  <si>
    <t>OSC 2016-4P</t>
  </si>
  <si>
    <t>40MHz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</si>
</sst>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4"/>
  <sheetViews>
    <sheetView tabSelected="1" workbookViewId="0">
      <selection activeCell="H35" sqref="H3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14</v>
      </c>
      <c r="I3" s="10" t="s">
        <v>15</v>
      </c>
      <c r="J3" s="9">
        <v>1</v>
      </c>
      <c r="K3" s="9"/>
    </row>
    <row r="4" ht="15.75" spans="1:11">
      <c r="A4" s="2"/>
      <c r="B4" s="7">
        <f>ROW(B4)-ROW($B$2)</f>
        <v>2</v>
      </c>
      <c r="C4" s="11" t="s">
        <v>16</v>
      </c>
      <c r="D4" s="12" t="s">
        <v>17</v>
      </c>
      <c r="E4" s="13" t="s">
        <v>18</v>
      </c>
      <c r="F4" s="12" t="s">
        <v>19</v>
      </c>
      <c r="G4" s="10" t="s">
        <v>14</v>
      </c>
      <c r="H4" s="9" t="s">
        <v>14</v>
      </c>
      <c r="I4" s="13" t="s">
        <v>20</v>
      </c>
      <c r="J4" s="12">
        <v>1</v>
      </c>
      <c r="K4" s="12"/>
    </row>
    <row r="5" ht="24.75" spans="1:11">
      <c r="A5" s="2"/>
      <c r="B5" s="7">
        <f>ROW(B5)-ROW($B$2)</f>
        <v>3</v>
      </c>
      <c r="C5" s="11" t="s">
        <v>16</v>
      </c>
      <c r="D5" s="9" t="s">
        <v>21</v>
      </c>
      <c r="E5" s="13" t="s">
        <v>16</v>
      </c>
      <c r="F5" s="9" t="s">
        <v>22</v>
      </c>
      <c r="G5" s="10" t="s">
        <v>14</v>
      </c>
      <c r="H5" s="9" t="s">
        <v>14</v>
      </c>
      <c r="I5" s="10" t="s">
        <v>23</v>
      </c>
      <c r="J5" s="9">
        <v>14</v>
      </c>
      <c r="K5" s="9"/>
    </row>
    <row r="6" ht="15.75" spans="1:11">
      <c r="A6" s="2"/>
      <c r="B6" s="7">
        <f>ROW(B6)-ROW($B$2)</f>
        <v>4</v>
      </c>
      <c r="C6" s="11" t="s">
        <v>16</v>
      </c>
      <c r="D6" s="12" t="s">
        <v>24</v>
      </c>
      <c r="E6" s="13" t="s">
        <v>16</v>
      </c>
      <c r="F6" s="12" t="s">
        <v>22</v>
      </c>
      <c r="G6" s="10" t="s">
        <v>14</v>
      </c>
      <c r="H6" s="9" t="s">
        <v>14</v>
      </c>
      <c r="I6" s="13" t="s">
        <v>25</v>
      </c>
      <c r="J6" s="12">
        <v>2</v>
      </c>
      <c r="K6" s="12"/>
    </row>
    <row r="7" spans="1:11">
      <c r="A7" s="2"/>
      <c r="B7" s="7">
        <f>ROW(B7)-ROW($B$2)</f>
        <v>5</v>
      </c>
      <c r="C7" s="11" t="s">
        <v>16</v>
      </c>
      <c r="D7" s="9" t="s">
        <v>26</v>
      </c>
      <c r="E7" s="13" t="s">
        <v>16</v>
      </c>
      <c r="F7" s="9" t="s">
        <v>22</v>
      </c>
      <c r="G7" s="10" t="s">
        <v>14</v>
      </c>
      <c r="H7" s="9" t="s">
        <v>14</v>
      </c>
      <c r="I7" s="10" t="s">
        <v>27</v>
      </c>
      <c r="J7" s="9">
        <v>2</v>
      </c>
      <c r="K7" s="9"/>
    </row>
    <row r="8" spans="1:11">
      <c r="A8" s="2"/>
      <c r="B8" s="7">
        <f>ROW(B8)-ROW($B$2)</f>
        <v>6</v>
      </c>
      <c r="C8" s="11" t="s">
        <v>16</v>
      </c>
      <c r="D8" s="12" t="s">
        <v>28</v>
      </c>
      <c r="E8" s="13" t="s">
        <v>16</v>
      </c>
      <c r="F8" s="12" t="s">
        <v>22</v>
      </c>
      <c r="G8" s="10" t="s">
        <v>14</v>
      </c>
      <c r="H8" s="9" t="s">
        <v>14</v>
      </c>
      <c r="I8" s="13" t="s">
        <v>29</v>
      </c>
      <c r="J8" s="12">
        <v>2</v>
      </c>
      <c r="K8" s="12"/>
    </row>
    <row r="9" spans="1:11">
      <c r="A9" s="2"/>
      <c r="B9" s="7">
        <f>ROW(B9)-ROW($B$2)</f>
        <v>7</v>
      </c>
      <c r="C9" s="11" t="s">
        <v>16</v>
      </c>
      <c r="D9" s="9" t="s">
        <v>30</v>
      </c>
      <c r="E9" s="13" t="s">
        <v>16</v>
      </c>
      <c r="F9" s="9" t="s">
        <v>22</v>
      </c>
      <c r="G9" s="10" t="s">
        <v>14</v>
      </c>
      <c r="H9" s="9" t="s">
        <v>14</v>
      </c>
      <c r="I9" s="10" t="s">
        <v>31</v>
      </c>
      <c r="J9" s="9">
        <v>1</v>
      </c>
      <c r="K9" s="9"/>
    </row>
    <row r="10" spans="1:11">
      <c r="A10" s="2"/>
      <c r="B10" s="7">
        <f>ROW(B10)-ROW($B$2)</f>
        <v>8</v>
      </c>
      <c r="C10" s="11" t="s">
        <v>16</v>
      </c>
      <c r="D10" s="12" t="s">
        <v>32</v>
      </c>
      <c r="E10" s="13" t="s">
        <v>16</v>
      </c>
      <c r="F10" s="12" t="s">
        <v>22</v>
      </c>
      <c r="G10" s="10" t="s">
        <v>14</v>
      </c>
      <c r="H10" s="12" t="s">
        <v>33</v>
      </c>
      <c r="I10" s="13" t="s">
        <v>34</v>
      </c>
      <c r="J10" s="12">
        <v>1</v>
      </c>
      <c r="K10" s="12"/>
    </row>
    <row r="11" spans="1:11">
      <c r="A11" s="2"/>
      <c r="B11" s="7">
        <f>ROW(B11)-ROW($B$2)</f>
        <v>9</v>
      </c>
      <c r="C11" s="11" t="s">
        <v>16</v>
      </c>
      <c r="D11" s="9" t="s">
        <v>35</v>
      </c>
      <c r="E11" s="13" t="s">
        <v>16</v>
      </c>
      <c r="F11" s="9" t="s">
        <v>22</v>
      </c>
      <c r="G11" s="10" t="s">
        <v>14</v>
      </c>
      <c r="H11" s="9" t="s">
        <v>33</v>
      </c>
      <c r="I11" s="10" t="s">
        <v>36</v>
      </c>
      <c r="J11" s="9">
        <v>1</v>
      </c>
      <c r="K11" s="9"/>
    </row>
    <row r="12" spans="1:11">
      <c r="A12" s="2"/>
      <c r="B12" s="7">
        <f>ROW(B12)-ROW($B$2)</f>
        <v>10</v>
      </c>
      <c r="C12" s="11" t="s">
        <v>16</v>
      </c>
      <c r="D12" s="12" t="s">
        <v>37</v>
      </c>
      <c r="E12" s="13" t="s">
        <v>16</v>
      </c>
      <c r="F12" s="12" t="s">
        <v>22</v>
      </c>
      <c r="G12" s="10" t="s">
        <v>14</v>
      </c>
      <c r="H12" s="12" t="s">
        <v>14</v>
      </c>
      <c r="I12" s="13" t="s">
        <v>38</v>
      </c>
      <c r="J12" s="12">
        <v>1</v>
      </c>
      <c r="K12" s="12"/>
    </row>
    <row r="13" spans="1:11">
      <c r="A13" s="2"/>
      <c r="B13" s="7">
        <f>ROW(B13)-ROW($B$2)</f>
        <v>11</v>
      </c>
      <c r="C13" s="11" t="s">
        <v>16</v>
      </c>
      <c r="D13" s="9" t="s">
        <v>39</v>
      </c>
      <c r="E13" s="13" t="s">
        <v>16</v>
      </c>
      <c r="F13" s="9" t="s">
        <v>40</v>
      </c>
      <c r="G13" s="10" t="s">
        <v>14</v>
      </c>
      <c r="H13" s="12" t="s">
        <v>14</v>
      </c>
      <c r="I13" s="10" t="s">
        <v>41</v>
      </c>
      <c r="J13" s="9">
        <v>1</v>
      </c>
      <c r="K13" s="9"/>
    </row>
    <row r="14" spans="1:11">
      <c r="A14" s="2"/>
      <c r="B14" s="7">
        <f>ROW(B14)-ROW($B$2)</f>
        <v>12</v>
      </c>
      <c r="C14" s="11" t="s">
        <v>16</v>
      </c>
      <c r="D14" s="12" t="s">
        <v>42</v>
      </c>
      <c r="E14" s="13" t="s">
        <v>16</v>
      </c>
      <c r="F14" s="12" t="s">
        <v>22</v>
      </c>
      <c r="G14" s="10" t="s">
        <v>14</v>
      </c>
      <c r="H14" s="12" t="s">
        <v>14</v>
      </c>
      <c r="I14" s="13" t="s">
        <v>43</v>
      </c>
      <c r="J14" s="12">
        <v>1</v>
      </c>
      <c r="K14" s="12"/>
    </row>
    <row r="15" ht="36.75" spans="1:11">
      <c r="A15" s="2"/>
      <c r="B15" s="7">
        <f>ROW(B15)-ROW($B$2)</f>
        <v>13</v>
      </c>
      <c r="C15" s="11" t="s">
        <v>16</v>
      </c>
      <c r="D15" s="9" t="s">
        <v>44</v>
      </c>
      <c r="E15" s="10" t="s">
        <v>45</v>
      </c>
      <c r="F15" s="9" t="s">
        <v>46</v>
      </c>
      <c r="G15" s="10" t="s">
        <v>47</v>
      </c>
      <c r="H15" s="9" t="s">
        <v>48</v>
      </c>
      <c r="I15" s="10" t="s">
        <v>49</v>
      </c>
      <c r="J15" s="9">
        <v>1</v>
      </c>
      <c r="K15" s="9"/>
    </row>
    <row r="16" ht="15.75" spans="1:11">
      <c r="A16" s="2"/>
      <c r="B16" s="7">
        <f>ROW(B16)-ROW($B$2)</f>
        <v>14</v>
      </c>
      <c r="C16" s="11" t="s">
        <v>16</v>
      </c>
      <c r="D16" s="12" t="s">
        <v>50</v>
      </c>
      <c r="E16" s="10" t="s">
        <v>16</v>
      </c>
      <c r="F16" s="12" t="s">
        <v>22</v>
      </c>
      <c r="G16" s="13" t="s">
        <v>14</v>
      </c>
      <c r="H16" s="12"/>
      <c r="I16" s="13" t="s">
        <v>51</v>
      </c>
      <c r="J16" s="12">
        <v>1</v>
      </c>
      <c r="K16" s="12"/>
    </row>
    <row r="17" ht="15.75" spans="1:11">
      <c r="A17" s="2"/>
      <c r="B17" s="7">
        <f>ROW(B17)-ROW($B$2)</f>
        <v>15</v>
      </c>
      <c r="C17" s="11" t="s">
        <v>16</v>
      </c>
      <c r="D17" s="9" t="s">
        <v>52</v>
      </c>
      <c r="E17" s="10" t="s">
        <v>16</v>
      </c>
      <c r="F17" s="9" t="s">
        <v>22</v>
      </c>
      <c r="G17" s="13" t="s">
        <v>14</v>
      </c>
      <c r="H17" s="9" t="s">
        <v>33</v>
      </c>
      <c r="I17" s="10" t="s">
        <v>53</v>
      </c>
      <c r="J17" s="9">
        <v>1</v>
      </c>
      <c r="K17" s="9"/>
    </row>
    <row r="18" ht="15.75" spans="1:11">
      <c r="A18" s="2"/>
      <c r="B18" s="7">
        <f>ROW(B18)-ROW($B$2)</f>
        <v>16</v>
      </c>
      <c r="C18" s="11" t="s">
        <v>16</v>
      </c>
      <c r="D18" s="12" t="s">
        <v>54</v>
      </c>
      <c r="E18" s="10" t="s">
        <v>16</v>
      </c>
      <c r="F18" s="12" t="s">
        <v>22</v>
      </c>
      <c r="G18" s="13" t="s">
        <v>14</v>
      </c>
      <c r="H18" s="12" t="s">
        <v>14</v>
      </c>
      <c r="I18" s="13" t="s">
        <v>55</v>
      </c>
      <c r="J18" s="12">
        <v>1</v>
      </c>
      <c r="K18" s="12"/>
    </row>
    <row r="19" ht="15.75" spans="1:11">
      <c r="A19" s="2"/>
      <c r="B19" s="7">
        <f>ROW(B19)-ROW($B$2)</f>
        <v>17</v>
      </c>
      <c r="C19" s="8" t="s">
        <v>56</v>
      </c>
      <c r="D19" s="9" t="s">
        <v>57</v>
      </c>
      <c r="E19" s="10" t="s">
        <v>56</v>
      </c>
      <c r="F19" s="9" t="s">
        <v>58</v>
      </c>
      <c r="G19" s="13" t="s">
        <v>14</v>
      </c>
      <c r="H19" s="9" t="s">
        <v>14</v>
      </c>
      <c r="I19" s="10" t="s">
        <v>59</v>
      </c>
      <c r="J19" s="9">
        <v>3</v>
      </c>
      <c r="K19" s="9"/>
    </row>
    <row r="20" ht="24.75" spans="1:11">
      <c r="A20" s="2"/>
      <c r="B20" s="7">
        <f>ROW(B20)-ROW($B$2)</f>
        <v>18</v>
      </c>
      <c r="C20" s="11" t="s">
        <v>60</v>
      </c>
      <c r="D20" s="12" t="s">
        <v>61</v>
      </c>
      <c r="E20" s="13" t="s">
        <v>60</v>
      </c>
      <c r="F20" s="12" t="s">
        <v>62</v>
      </c>
      <c r="G20" s="13" t="s">
        <v>14</v>
      </c>
      <c r="H20" s="12" t="s">
        <v>63</v>
      </c>
      <c r="I20" s="13" t="s">
        <v>64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65</v>
      </c>
      <c r="D21" s="9" t="s">
        <v>66</v>
      </c>
      <c r="E21" s="10" t="s">
        <v>67</v>
      </c>
      <c r="F21" s="9" t="s">
        <v>68</v>
      </c>
      <c r="G21" s="13" t="s">
        <v>14</v>
      </c>
      <c r="H21" s="9" t="s">
        <v>14</v>
      </c>
      <c r="I21" s="10" t="s">
        <v>69</v>
      </c>
      <c r="J21" s="9">
        <v>1</v>
      </c>
      <c r="K21" s="9"/>
    </row>
    <row r="22" spans="1:11">
      <c r="A22" s="2"/>
      <c r="B22" s="7">
        <f>ROW(B22)-ROW($B$2)</f>
        <v>20</v>
      </c>
      <c r="C22" s="8" t="s">
        <v>65</v>
      </c>
      <c r="D22" s="12" t="s">
        <v>70</v>
      </c>
      <c r="E22" s="13" t="s">
        <v>71</v>
      </c>
      <c r="F22" s="12" t="s">
        <v>72</v>
      </c>
      <c r="G22" s="13" t="s">
        <v>14</v>
      </c>
      <c r="H22" s="9" t="s">
        <v>14</v>
      </c>
      <c r="I22" s="13" t="s">
        <v>73</v>
      </c>
      <c r="J22" s="12">
        <v>1</v>
      </c>
      <c r="K22" s="12"/>
    </row>
    <row r="23" spans="1:11">
      <c r="A23" s="2"/>
      <c r="B23" s="7">
        <f>ROW(B23)-ROW($B$2)</f>
        <v>21</v>
      </c>
      <c r="C23" s="8" t="s">
        <v>65</v>
      </c>
      <c r="D23" s="9" t="s">
        <v>74</v>
      </c>
      <c r="E23" s="10" t="s">
        <v>75</v>
      </c>
      <c r="F23" s="9" t="s">
        <v>76</v>
      </c>
      <c r="G23" s="13" t="s">
        <v>14</v>
      </c>
      <c r="H23" s="9" t="s">
        <v>14</v>
      </c>
      <c r="I23" s="10" t="s">
        <v>77</v>
      </c>
      <c r="J23" s="9">
        <v>1</v>
      </c>
      <c r="K23" s="9"/>
    </row>
    <row r="24" spans="1:11">
      <c r="A24" s="2"/>
      <c r="B24" s="7">
        <f>ROW(B24)-ROW($B$2)</f>
        <v>22</v>
      </c>
      <c r="C24" s="8" t="s">
        <v>78</v>
      </c>
      <c r="D24" s="12" t="s">
        <v>79</v>
      </c>
      <c r="E24" s="13" t="s">
        <v>80</v>
      </c>
      <c r="F24" s="12" t="s">
        <v>81</v>
      </c>
      <c r="G24" s="13" t="s">
        <v>14</v>
      </c>
      <c r="H24" s="9" t="s">
        <v>14</v>
      </c>
      <c r="I24" s="13" t="s">
        <v>82</v>
      </c>
      <c r="J24" s="12">
        <v>1</v>
      </c>
      <c r="K24" s="12"/>
    </row>
    <row r="25" spans="1:11">
      <c r="A25" s="2"/>
      <c r="B25" s="7">
        <f>ROW(B25)-ROW($B$2)</f>
        <v>23</v>
      </c>
      <c r="C25" s="8" t="s">
        <v>83</v>
      </c>
      <c r="D25" s="9" t="s">
        <v>84</v>
      </c>
      <c r="E25" s="10" t="s">
        <v>83</v>
      </c>
      <c r="F25" s="9" t="s">
        <v>85</v>
      </c>
      <c r="G25" s="13" t="s">
        <v>14</v>
      </c>
      <c r="H25" s="9" t="s">
        <v>14</v>
      </c>
      <c r="I25" s="10" t="s">
        <v>86</v>
      </c>
      <c r="J25" s="9">
        <v>1</v>
      </c>
      <c r="K25" s="9"/>
    </row>
    <row r="26" spans="1:11">
      <c r="A26" s="2"/>
      <c r="B26" s="7">
        <f>ROW(B26)-ROW($B$2)</f>
        <v>24</v>
      </c>
      <c r="C26" s="8" t="s">
        <v>83</v>
      </c>
      <c r="D26" s="12" t="s">
        <v>87</v>
      </c>
      <c r="E26" s="13" t="s">
        <v>83</v>
      </c>
      <c r="F26" s="12" t="s">
        <v>88</v>
      </c>
      <c r="G26" s="13" t="s">
        <v>14</v>
      </c>
      <c r="H26" s="9" t="s">
        <v>14</v>
      </c>
      <c r="I26" s="13" t="s">
        <v>89</v>
      </c>
      <c r="J26" s="12">
        <v>1</v>
      </c>
      <c r="K26" s="12"/>
    </row>
    <row r="27" spans="1:11">
      <c r="A27" s="2"/>
      <c r="B27" s="7">
        <f>ROW(B27)-ROW($B$2)</f>
        <v>25</v>
      </c>
      <c r="C27" s="8" t="s">
        <v>90</v>
      </c>
      <c r="D27" s="9" t="s">
        <v>91</v>
      </c>
      <c r="E27" s="10" t="s">
        <v>92</v>
      </c>
      <c r="F27" s="9" t="s">
        <v>93</v>
      </c>
      <c r="G27" s="13" t="s">
        <v>14</v>
      </c>
      <c r="H27" s="9" t="s">
        <v>14</v>
      </c>
      <c r="I27" s="10" t="s">
        <v>94</v>
      </c>
      <c r="J27" s="9">
        <v>1</v>
      </c>
      <c r="K27" s="9"/>
    </row>
    <row r="28" spans="1:11">
      <c r="A28" s="2"/>
      <c r="B28" s="7">
        <f>ROW(B28)-ROW($B$2)</f>
        <v>26</v>
      </c>
      <c r="C28" s="11" t="s">
        <v>95</v>
      </c>
      <c r="D28" s="12" t="s">
        <v>96</v>
      </c>
      <c r="E28" s="13" t="s">
        <v>95</v>
      </c>
      <c r="F28" s="12" t="s">
        <v>97</v>
      </c>
      <c r="G28" s="13" t="s">
        <v>14</v>
      </c>
      <c r="H28" s="12" t="s">
        <v>98</v>
      </c>
      <c r="I28" s="13" t="s">
        <v>99</v>
      </c>
      <c r="J28" s="12">
        <v>2</v>
      </c>
      <c r="K28" s="12"/>
    </row>
    <row r="29" spans="1:11">
      <c r="A29" s="2"/>
      <c r="B29" s="7">
        <f>ROW(B29)-ROW($B$2)</f>
        <v>27</v>
      </c>
      <c r="C29" s="8" t="s">
        <v>100</v>
      </c>
      <c r="D29" s="9" t="s">
        <v>101</v>
      </c>
      <c r="E29" s="10" t="s">
        <v>100</v>
      </c>
      <c r="F29" s="9" t="s">
        <v>85</v>
      </c>
      <c r="G29" s="13" t="s">
        <v>14</v>
      </c>
      <c r="H29" s="9" t="s">
        <v>14</v>
      </c>
      <c r="I29" s="10" t="s">
        <v>102</v>
      </c>
      <c r="J29" s="9">
        <v>1</v>
      </c>
      <c r="K29" s="9"/>
    </row>
    <row r="30" spans="1:11">
      <c r="A30" s="2"/>
      <c r="B30" s="7">
        <f>ROW(B30)-ROW($B$2)</f>
        <v>28</v>
      </c>
      <c r="C30" s="8" t="s">
        <v>100</v>
      </c>
      <c r="D30" s="12" t="s">
        <v>103</v>
      </c>
      <c r="E30" s="10" t="s">
        <v>100</v>
      </c>
      <c r="F30" s="12" t="s">
        <v>85</v>
      </c>
      <c r="G30" s="13" t="s">
        <v>14</v>
      </c>
      <c r="H30" s="9" t="s">
        <v>14</v>
      </c>
      <c r="I30" s="13" t="s">
        <v>104</v>
      </c>
      <c r="J30" s="12">
        <v>6</v>
      </c>
      <c r="K30" s="12"/>
    </row>
    <row r="31" spans="1:11">
      <c r="A31" s="2"/>
      <c r="B31" s="7">
        <f>ROW(B31)-ROW($B$2)</f>
        <v>29</v>
      </c>
      <c r="C31" s="8" t="s">
        <v>100</v>
      </c>
      <c r="D31" s="9" t="s">
        <v>105</v>
      </c>
      <c r="E31" s="10" t="s">
        <v>100</v>
      </c>
      <c r="F31" s="9" t="s">
        <v>85</v>
      </c>
      <c r="G31" s="13" t="s">
        <v>14</v>
      </c>
      <c r="H31" s="9" t="s">
        <v>14</v>
      </c>
      <c r="I31" s="10" t="s">
        <v>106</v>
      </c>
      <c r="J31" s="9">
        <v>1</v>
      </c>
      <c r="K31" s="9"/>
    </row>
    <row r="32" ht="15.75" spans="1:11">
      <c r="A32" s="2"/>
      <c r="B32" s="7">
        <f>ROW(B32)-ROW($B$2)</f>
        <v>30</v>
      </c>
      <c r="C32" s="8" t="s">
        <v>100</v>
      </c>
      <c r="D32" s="12" t="s">
        <v>107</v>
      </c>
      <c r="E32" s="13" t="s">
        <v>108</v>
      </c>
      <c r="F32" s="12" t="s">
        <v>109</v>
      </c>
      <c r="G32" s="13" t="s">
        <v>110</v>
      </c>
      <c r="H32" s="12" t="s">
        <v>111</v>
      </c>
      <c r="I32" s="13" t="s">
        <v>112</v>
      </c>
      <c r="J32" s="12">
        <v>2</v>
      </c>
      <c r="K32" s="12"/>
    </row>
    <row r="33" ht="15.75" spans="1:11">
      <c r="A33" s="2"/>
      <c r="B33" s="7">
        <f>ROW(B33)-ROW($B$2)</f>
        <v>31</v>
      </c>
      <c r="C33" s="8" t="s">
        <v>100</v>
      </c>
      <c r="D33" s="9" t="s">
        <v>113</v>
      </c>
      <c r="E33" s="10" t="s">
        <v>100</v>
      </c>
      <c r="F33" s="9" t="s">
        <v>85</v>
      </c>
      <c r="G33" s="10" t="s">
        <v>14</v>
      </c>
      <c r="H33" s="9" t="s">
        <v>14</v>
      </c>
      <c r="I33" s="10" t="s">
        <v>114</v>
      </c>
      <c r="J33" s="9">
        <v>1</v>
      </c>
      <c r="K33" s="9"/>
    </row>
    <row r="34" ht="15.75" spans="1:11">
      <c r="A34" s="2"/>
      <c r="B34" s="7">
        <f>ROW(B34)-ROW($B$2)</f>
        <v>32</v>
      </c>
      <c r="C34" s="8" t="s">
        <v>100</v>
      </c>
      <c r="D34" s="12" t="s">
        <v>115</v>
      </c>
      <c r="E34" s="10" t="s">
        <v>100</v>
      </c>
      <c r="F34" s="12" t="s">
        <v>85</v>
      </c>
      <c r="G34" s="13" t="s">
        <v>14</v>
      </c>
      <c r="H34" s="12" t="s">
        <v>14</v>
      </c>
      <c r="I34" s="13" t="s">
        <v>116</v>
      </c>
      <c r="J34" s="12">
        <v>1</v>
      </c>
      <c r="K34" s="12"/>
    </row>
    <row r="35" ht="15.75" spans="1:11">
      <c r="A35" s="2"/>
      <c r="B35" s="7">
        <f>ROW(B35)-ROW($B$2)</f>
        <v>33</v>
      </c>
      <c r="C35" s="8" t="s">
        <v>100</v>
      </c>
      <c r="D35" s="9" t="s">
        <v>117</v>
      </c>
      <c r="E35" s="10" t="s">
        <v>118</v>
      </c>
      <c r="F35" s="9" t="s">
        <v>109</v>
      </c>
      <c r="G35" s="10" t="s">
        <v>119</v>
      </c>
      <c r="H35" s="9" t="s">
        <v>111</v>
      </c>
      <c r="I35" s="10" t="s">
        <v>120</v>
      </c>
      <c r="J35" s="9">
        <v>1</v>
      </c>
      <c r="K35" s="9"/>
    </row>
    <row r="36" ht="48.75" spans="1:11">
      <c r="A36" s="2"/>
      <c r="B36" s="7">
        <f>ROW(B36)-ROW($B$2)</f>
        <v>34</v>
      </c>
      <c r="C36" s="11" t="s">
        <v>121</v>
      </c>
      <c r="D36" s="12" t="s">
        <v>122</v>
      </c>
      <c r="E36" s="13" t="s">
        <v>123</v>
      </c>
      <c r="F36" s="12" t="s">
        <v>124</v>
      </c>
      <c r="G36" s="13" t="s">
        <v>14</v>
      </c>
      <c r="H36" s="12" t="s">
        <v>14</v>
      </c>
      <c r="I36" s="13" t="s">
        <v>125</v>
      </c>
      <c r="J36" s="12">
        <v>1</v>
      </c>
      <c r="K36" s="12"/>
    </row>
    <row r="37" spans="1:11">
      <c r="A37" s="2"/>
      <c r="B37" s="7">
        <f>ROW(B37)-ROW($B$2)</f>
        <v>35</v>
      </c>
      <c r="C37" s="11" t="s">
        <v>121</v>
      </c>
      <c r="D37" s="9" t="s">
        <v>126</v>
      </c>
      <c r="E37" s="10"/>
      <c r="F37" s="9" t="s">
        <v>127</v>
      </c>
      <c r="G37" s="13" t="s">
        <v>14</v>
      </c>
      <c r="H37" s="12" t="s">
        <v>14</v>
      </c>
      <c r="I37" s="10" t="s">
        <v>128</v>
      </c>
      <c r="J37" s="9">
        <v>1</v>
      </c>
      <c r="K37" s="9"/>
    </row>
    <row r="38" ht="48.75" spans="1:11">
      <c r="A38" s="2"/>
      <c r="B38" s="7">
        <f>ROW(B38)-ROW($B$2)</f>
        <v>36</v>
      </c>
      <c r="C38" s="11" t="s">
        <v>121</v>
      </c>
      <c r="D38" s="12" t="s">
        <v>129</v>
      </c>
      <c r="E38" s="13" t="s">
        <v>130</v>
      </c>
      <c r="F38" s="12" t="s">
        <v>131</v>
      </c>
      <c r="G38" s="13" t="s">
        <v>14</v>
      </c>
      <c r="H38" s="12" t="s">
        <v>14</v>
      </c>
      <c r="I38" s="13" t="s">
        <v>132</v>
      </c>
      <c r="J38" s="12">
        <v>1</v>
      </c>
      <c r="K38" s="12"/>
    </row>
    <row r="39" spans="1:11">
      <c r="A39" s="2"/>
      <c r="B39" s="7">
        <f>ROW(B39)-ROW($B$2)</f>
        <v>37</v>
      </c>
      <c r="C39" s="11" t="s">
        <v>121</v>
      </c>
      <c r="D39" s="9" t="s">
        <v>133</v>
      </c>
      <c r="E39" s="10" t="s">
        <v>134</v>
      </c>
      <c r="F39" s="9" t="s">
        <v>135</v>
      </c>
      <c r="G39" s="13" t="s">
        <v>14</v>
      </c>
      <c r="H39" s="12" t="s">
        <v>14</v>
      </c>
      <c r="I39" s="10" t="s">
        <v>136</v>
      </c>
      <c r="J39" s="9">
        <v>1</v>
      </c>
      <c r="K39" s="9"/>
    </row>
    <row r="40" spans="1:11">
      <c r="A40" s="2"/>
      <c r="B40" s="7">
        <f>ROW(B40)-ROW($B$2)</f>
        <v>38</v>
      </c>
      <c r="C40" s="11" t="s">
        <v>121</v>
      </c>
      <c r="D40" s="12" t="s">
        <v>137</v>
      </c>
      <c r="E40" s="13" t="s">
        <v>138</v>
      </c>
      <c r="F40" s="12" t="s">
        <v>139</v>
      </c>
      <c r="G40" s="13" t="s">
        <v>14</v>
      </c>
      <c r="H40" s="12" t="s">
        <v>14</v>
      </c>
      <c r="I40" s="13" t="s">
        <v>140</v>
      </c>
      <c r="J40" s="12">
        <v>1</v>
      </c>
      <c r="K40" s="12"/>
    </row>
    <row r="41" ht="36.75" spans="1:11">
      <c r="A41" s="2"/>
      <c r="B41" s="7">
        <f>ROW(B41)-ROW($B$2)</f>
        <v>39</v>
      </c>
      <c r="C41" s="11" t="s">
        <v>121</v>
      </c>
      <c r="D41" s="9" t="s">
        <v>141</v>
      </c>
      <c r="E41" s="10" t="s">
        <v>142</v>
      </c>
      <c r="F41" s="9" t="s">
        <v>143</v>
      </c>
      <c r="G41" s="13" t="s">
        <v>14</v>
      </c>
      <c r="H41" s="12" t="s">
        <v>14</v>
      </c>
      <c r="I41" s="10" t="s">
        <v>143</v>
      </c>
      <c r="J41" s="9">
        <v>1</v>
      </c>
      <c r="K41" s="9"/>
    </row>
    <row r="42" ht="15.75" spans="1:11">
      <c r="A42" s="2"/>
      <c r="B42" s="7">
        <f>ROW(B42)-ROW($B$2)</f>
        <v>40</v>
      </c>
      <c r="C42" s="11" t="s">
        <v>144</v>
      </c>
      <c r="D42" s="12" t="s">
        <v>145</v>
      </c>
      <c r="E42" s="13" t="s">
        <v>146</v>
      </c>
      <c r="F42" s="12" t="s">
        <v>147</v>
      </c>
      <c r="G42" s="13" t="s">
        <v>147</v>
      </c>
      <c r="H42" s="12" t="s">
        <v>148</v>
      </c>
      <c r="I42" s="13" t="s">
        <v>147</v>
      </c>
      <c r="J42" s="12">
        <v>1</v>
      </c>
      <c r="K42" s="12"/>
    </row>
    <row r="43" ht="36.75" spans="1:11">
      <c r="A43" s="2"/>
      <c r="B43" s="7">
        <f>ROW(B43)-ROW($B$2)</f>
        <v>41</v>
      </c>
      <c r="C43" s="8" t="s">
        <v>149</v>
      </c>
      <c r="D43" s="9" t="s">
        <v>150</v>
      </c>
      <c r="E43" s="10" t="s">
        <v>151</v>
      </c>
      <c r="F43" s="9" t="s">
        <v>152</v>
      </c>
      <c r="G43" s="10" t="s">
        <v>152</v>
      </c>
      <c r="H43" s="9" t="s">
        <v>153</v>
      </c>
      <c r="I43" s="10" t="s">
        <v>152</v>
      </c>
      <c r="J43" s="9">
        <v>1</v>
      </c>
      <c r="K43" s="9"/>
    </row>
    <row r="44" spans="1:11">
      <c r="A44" s="2"/>
      <c r="B44" s="7">
        <f>ROW(B44)-ROW($B$2)</f>
        <v>42</v>
      </c>
      <c r="C44" s="11" t="s">
        <v>154</v>
      </c>
      <c r="D44" s="12" t="s">
        <v>155</v>
      </c>
      <c r="E44" s="13" t="s">
        <v>156</v>
      </c>
      <c r="F44" s="12" t="s">
        <v>157</v>
      </c>
      <c r="G44" s="13" t="s">
        <v>14</v>
      </c>
      <c r="H44" s="12" t="s">
        <v>14</v>
      </c>
      <c r="I44" s="13" t="s">
        <v>158</v>
      </c>
      <c r="J44" s="12">
        <v>1</v>
      </c>
      <c r="K44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sidra memon</cp:lastModifiedBy>
  <dcterms:created xsi:type="dcterms:W3CDTF">2019-12-12T10:34:00Z</dcterms:created>
  <dcterms:modified xsi:type="dcterms:W3CDTF">2024-04-22T11:17:47Z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B178D205D2CE416C855ABC1B110F173C_13</vt:lpwstr>
  </property>
  <property fmtid="{D5CDD505-2E9C-101B-9397-08002B2CF9AE}" pid="3" name="KSOProductBuildVer">
    <vt:lpwstr>1033-12.2.0.16731</vt:lpwstr>
  </property>
</Properties>
</file>