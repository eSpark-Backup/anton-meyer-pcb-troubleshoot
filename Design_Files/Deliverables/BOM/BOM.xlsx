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park Cons Group\Documents\GitHub\Melih-SoundSensor\antonmeyer-pcbtroubleshoot\Design_Files\Project Outputs for ESP32-C3FH4\"/>
    </mc:Choice>
  </mc:AlternateContent>
  <xr:revisionPtr revIDLastSave="0" documentId="13_ncr:1_{B3C9DC1D-F69A-411A-9F87-BFFBA2D0CFCC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34" i="1" l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<sst xmlns="http://schemas.openxmlformats.org/spreadsheetml/2006/main" count="187" uniqueCount="129">
  <si>
    <t>#</t>
  </si>
  <si>
    <t>Item Type</t>
  </si>
  <si>
    <t>Male Header</t>
  </si>
  <si>
    <t>Resistor</t>
  </si>
  <si>
    <t>Module</t>
  </si>
  <si>
    <t>IC</t>
  </si>
  <si>
    <t>Sensor</t>
  </si>
  <si>
    <t>Type-C SMD USB</t>
  </si>
  <si>
    <t>Designator</t>
  </si>
  <si>
    <t>C1, C2, C4, C6, C7, C9, C10, C20, C21, C30, C31</t>
  </si>
  <si>
    <t>C3, C17</t>
  </si>
  <si>
    <t>C5</t>
  </si>
  <si>
    <t>C8</t>
  </si>
  <si>
    <t>C14</t>
  </si>
  <si>
    <t>C15</t>
  </si>
  <si>
    <t>C16</t>
  </si>
  <si>
    <t>C27</t>
  </si>
  <si>
    <t>C28</t>
  </si>
  <si>
    <t>ESD1, ESD2, ESD3</t>
  </si>
  <si>
    <t>F6</t>
  </si>
  <si>
    <t>J1</t>
  </si>
  <si>
    <t>JP1</t>
  </si>
  <si>
    <t>JP2</t>
  </si>
  <si>
    <t>KEY1</t>
  </si>
  <si>
    <t>L2</t>
  </si>
  <si>
    <t>LED1</t>
  </si>
  <si>
    <t>Q1, Q2</t>
  </si>
  <si>
    <t>R1</t>
  </si>
  <si>
    <t>R2, R4, R8, R11, R26, R27</t>
  </si>
  <si>
    <t>R3</t>
  </si>
  <si>
    <t>R5, R6</t>
  </si>
  <si>
    <t>R12</t>
  </si>
  <si>
    <t>R25</t>
  </si>
  <si>
    <t>U</t>
  </si>
  <si>
    <t>U1</t>
  </si>
  <si>
    <t>U2</t>
  </si>
  <si>
    <t>U3</t>
  </si>
  <si>
    <t>U4</t>
  </si>
  <si>
    <t>U5</t>
  </si>
  <si>
    <t>U8</t>
  </si>
  <si>
    <t>USB1</t>
  </si>
  <si>
    <t>Description</t>
  </si>
  <si>
    <t>Capacitor</t>
  </si>
  <si>
    <t>USB to Serial Port Chip</t>
  </si>
  <si>
    <t>5P接插件</t>
  </si>
  <si>
    <t>Gold 250V 3A Straight Square Pins 2.5mm 4P 260℃ 6mm -40℃~+105℃ 3mm 2.54mm Plugin Black Brass 1x4P Plugin,P=2.54mm Pin Headers ROHS</t>
  </si>
  <si>
    <t>直插6x6轻触开关</t>
  </si>
  <si>
    <t>5mm草帽LED</t>
  </si>
  <si>
    <t>RES 5.1K OHM 1% 1/16W 0402</t>
  </si>
  <si>
    <t>RES 100K OHM 1% 1/16W 0402</t>
  </si>
  <si>
    <t>4.5V to 23V Input, 3A Synchronous Step-Down Converter with D-CAP2 Mode and Light Load Efficiency 8-SO PowerPAD -40 to 85</t>
  </si>
  <si>
    <t>SMD,18x25.5mm WiFi Modules ROHS</t>
  </si>
  <si>
    <t>达林顿驱动芯片</t>
  </si>
  <si>
    <t>ACCEL 2-16G I2C/SPI 12LGA</t>
  </si>
  <si>
    <t>INTEGRATED LIGHT SOURCE INTELLIGENT CONTROL OF_x000D_
CHIP-ON-TOP SMD TYPE LED</t>
  </si>
  <si>
    <t>LGA-8(2x2.5) Pressure Sensors ROHS</t>
  </si>
  <si>
    <t>3A 1 Surface Mount，Right Angle 16P Female -40℃~+85℃ Type-C SMD USB Connectors ROHS</t>
  </si>
  <si>
    <t>Footprint</t>
  </si>
  <si>
    <t>C 0402_L</t>
  </si>
  <si>
    <t>C0805</t>
  </si>
  <si>
    <t>X1-DFN1006-2_L1.0-W0.6-RD</t>
  </si>
  <si>
    <t>R 0805_L</t>
  </si>
  <si>
    <t>*SOP100P600X160-11N</t>
  </si>
  <si>
    <t>XH2.54-LI-5P</t>
  </si>
  <si>
    <t>HDR1X4_</t>
  </si>
  <si>
    <t>TSW SMD-6*6*5</t>
  </si>
  <si>
    <t>IND_CLF7045T-3R3N-D</t>
  </si>
  <si>
    <t>LED 0603B</t>
  </si>
  <si>
    <t>SOT23-3L</t>
  </si>
  <si>
    <t>R 0402_L</t>
  </si>
  <si>
    <t>Res-0402</t>
  </si>
  <si>
    <t>VREG_LM5017MR/NOPB</t>
  </si>
  <si>
    <t>HDR-TH_5P-P1.27-V-M</t>
  </si>
  <si>
    <t>41-SMD Module</t>
  </si>
  <si>
    <t>SOP16</t>
  </si>
  <si>
    <t>12-LGA (2x2)</t>
  </si>
  <si>
    <t>SK6812 SIDE-A</t>
  </si>
  <si>
    <t>SPL06-001</t>
  </si>
  <si>
    <t>KH-TYPE-C-16P</t>
  </si>
  <si>
    <t>Manufacturer Part Number</t>
  </si>
  <si>
    <t>X6511WV-04H-C60D30</t>
  </si>
  <si>
    <t>RC0402FR-075K1L</t>
  </si>
  <si>
    <t>RC0402FR-07100KL</t>
  </si>
  <si>
    <t>ESP32-S3-WROOM-1-N4R2</t>
  </si>
  <si>
    <t>LIS2DW12TR</t>
  </si>
  <si>
    <t>Manufacturer</t>
  </si>
  <si>
    <t>Generic Components</t>
  </si>
  <si>
    <t>Jinrui Electronic Materials Co.</t>
  </si>
  <si>
    <t>XKB</t>
  </si>
  <si>
    <t>WPMtek(维攀微)</t>
  </si>
  <si>
    <t>Yageo</t>
  </si>
  <si>
    <t>Espressif Systems</t>
  </si>
  <si>
    <t>STMicroelectronics</t>
  </si>
  <si>
    <t>Goertek</t>
  </si>
  <si>
    <t>Shenzhen Kinghelm Elec</t>
  </si>
  <si>
    <t>Comment</t>
  </si>
  <si>
    <t>0.1uF/25V</t>
  </si>
  <si>
    <t>22uF/25V</t>
  </si>
  <si>
    <t>1uF/10V</t>
  </si>
  <si>
    <t>10uF/10V</t>
  </si>
  <si>
    <t>22uF/10V</t>
  </si>
  <si>
    <t>10pF/10V</t>
  </si>
  <si>
    <t>8.2nF/25V</t>
  </si>
  <si>
    <t>0.1uF/10V</t>
  </si>
  <si>
    <t>1uF/25V</t>
  </si>
  <si>
    <t>ESD5311N-2/TR</t>
  </si>
  <si>
    <t>6V1A</t>
  </si>
  <si>
    <t>CH340K</t>
  </si>
  <si>
    <t>HDR-1X5</t>
  </si>
  <si>
    <t>6*6*5</t>
  </si>
  <si>
    <t>CLF7045T-3R3N-D</t>
  </si>
  <si>
    <t>GREEN</t>
  </si>
  <si>
    <t>S8050</t>
  </si>
  <si>
    <t>1K</t>
  </si>
  <si>
    <t>10K</t>
  </si>
  <si>
    <t>84.5K</t>
  </si>
  <si>
    <t>5.1K</t>
  </si>
  <si>
    <t>25.5K</t>
  </si>
  <si>
    <t>100K</t>
  </si>
  <si>
    <t>TPS54339DDA</t>
  </si>
  <si>
    <t>HLK-LD2410B</t>
  </si>
  <si>
    <t>ULN2003</t>
  </si>
  <si>
    <t>Quantity</t>
  </si>
  <si>
    <t>Diode</t>
  </si>
  <si>
    <t>Transistor</t>
  </si>
  <si>
    <t>Inductor</t>
  </si>
  <si>
    <t>Switch</t>
  </si>
  <si>
    <t>Connector</t>
  </si>
  <si>
    <t>Fuse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</si>
</sst>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3" borderId="2" xfId="0" applyFont="1" applyFill="1" applyBorder="1" applyAlignment="1" applyProtection="1">
      <alignment horizontal="left" vertical="top"/>
      <protection locked="0"/>
    </xf>
    <xf numFmtId="0" fontId="3" fillId="3" borderId="2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>
      <alignment horizontal="center"/>
    </xf>
    <xf numFmtId="0" fontId="4" fillId="3" borderId="8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4" borderId="9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 applyProtection="1">
      <alignment horizontal="center" vertical="center"/>
      <protection locked="0"/>
    </xf>
    <xf numFmtId="0" fontId="2" fillId="3" borderId="6" xfId="0" applyFont="1" applyFill="1" applyBorder="1" applyAlignment="1" applyProtection="1">
      <alignment vertical="center"/>
      <protection locked="0"/>
    </xf>
    <xf numFmtId="0" fontId="3" fillId="3" borderId="6" xfId="0" applyFont="1" applyFill="1" applyBorder="1" applyAlignment="1" applyProtection="1">
      <alignment horizontal="left" vertical="center"/>
      <protection locked="0"/>
    </xf>
    <xf numFmtId="0" fontId="0" fillId="3" borderId="6" xfId="0" applyFill="1" applyBorder="1" applyAlignment="1">
      <alignment vertical="center"/>
    </xf>
    <xf numFmtId="0" fontId="0" fillId="3" borderId="6" xfId="0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top"/>
      <protection locked="0"/>
    </xf>
    <xf numFmtId="0" fontId="2" fillId="4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36"/>
  <sheetViews>
    <sheetView tabSelected="1" workbookViewId="0">
      <selection activeCell="E25" sqref="E25"/>
    </sheetView>
  </sheetViews>
  <sheetFormatPr defaultRowHeight="15" x14ac:dyDescent="0.25"/>
  <cols>
    <col min="2" max="2" width="3.140625" style="7" customWidth="1"/>
    <col min="3" max="3" width="18.7109375" style="7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</cols>
  <sheetData>
    <row r="1" spans="1:10" ht="15.75" thickBot="1" x14ac:dyDescent="0.3">
      <c r="A1" s="1"/>
      <c r="B1" s="5"/>
      <c r="C1" s="5"/>
      <c r="D1" s="2"/>
      <c r="E1" s="2"/>
      <c r="F1" s="2"/>
      <c r="G1" s="2"/>
      <c r="H1" s="2"/>
      <c r="I1" s="22"/>
      <c r="J1" s="22"/>
    </row>
    <row r="2" spans="1:10" ht="15.75" thickBot="1" x14ac:dyDescent="0.3">
      <c r="A2" s="1"/>
      <c r="B2" s="8" t="s">
        <v>0</v>
      </c>
      <c r="C2" s="8" t="s">
        <v>1</v>
      </c>
      <c r="D2" s="8" t="s">
        <v>8</v>
      </c>
      <c r="E2" s="9" t="s">
        <v>41</v>
      </c>
      <c r="F2" s="8" t="s">
        <v>57</v>
      </c>
      <c r="G2" s="9" t="s">
        <v>79</v>
      </c>
      <c r="H2" s="8" t="s">
        <v>85</v>
      </c>
      <c r="I2" s="9" t="s">
        <v>95</v>
      </c>
      <c r="J2" s="8" t="s">
        <v>122</v>
      </c>
    </row>
    <row r="3" spans="1:10" ht="15.75" thickBot="1" x14ac:dyDescent="0.3">
      <c r="A3" s="1"/>
      <c r="B3" s="21">
        <f>ROW(B3) - ROW($B$2)</f>
        <v>1</v>
      </c>
      <c r="C3" s="16" t="s">
        <v>42</v>
      </c>
      <c r="D3" s="15" t="s">
        <v>9</v>
      </c>
      <c r="E3" s="16" t="s">
        <v>42</v>
      </c>
      <c r="F3" s="15" t="s">
        <v>58</v>
      </c>
      <c r="G3" s="16"/>
      <c r="H3" s="15"/>
      <c r="I3" s="16" t="s">
        <v>96</v>
      </c>
      <c r="J3" s="15">
        <v>11</v>
      </c>
    </row>
    <row r="4" spans="1:10" ht="15.75" thickBot="1" x14ac:dyDescent="0.3">
      <c r="A4" s="1"/>
      <c r="B4" s="21">
        <f t="shared" ref="B4:B34" si="0">ROW(B4) - ROW($B$2)</f>
        <v>2</v>
      </c>
      <c r="C4" s="16" t="s">
        <v>42</v>
      </c>
      <c r="D4" s="17" t="s">
        <v>10</v>
      </c>
      <c r="E4" s="16" t="s">
        <v>42</v>
      </c>
      <c r="F4" s="17" t="s">
        <v>59</v>
      </c>
      <c r="G4" s="18"/>
      <c r="H4" s="17"/>
      <c r="I4" s="18" t="s">
        <v>97</v>
      </c>
      <c r="J4" s="17">
        <v>2</v>
      </c>
    </row>
    <row r="5" spans="1:10" ht="15.75" thickBot="1" x14ac:dyDescent="0.3">
      <c r="A5" s="1"/>
      <c r="B5" s="21">
        <f>ROW(B5) - ROW($B$2)</f>
        <v>3</v>
      </c>
      <c r="C5" s="16" t="s">
        <v>42</v>
      </c>
      <c r="D5" s="15" t="s">
        <v>11</v>
      </c>
      <c r="E5" s="16" t="s">
        <v>42</v>
      </c>
      <c r="F5" s="15" t="s">
        <v>58</v>
      </c>
      <c r="G5" s="16"/>
      <c r="H5" s="15"/>
      <c r="I5" s="16" t="s">
        <v>98</v>
      </c>
      <c r="J5" s="15">
        <v>1</v>
      </c>
    </row>
    <row r="6" spans="1:10" ht="15.75" thickBot="1" x14ac:dyDescent="0.3">
      <c r="A6" s="1"/>
      <c r="B6" s="21">
        <f t="shared" si="0"/>
        <v>4</v>
      </c>
      <c r="C6" s="16" t="s">
        <v>42</v>
      </c>
      <c r="D6" s="17" t="s">
        <v>12</v>
      </c>
      <c r="E6" s="16" t="s">
        <v>42</v>
      </c>
      <c r="F6" s="17" t="s">
        <v>58</v>
      </c>
      <c r="G6" s="18"/>
      <c r="H6" s="17"/>
      <c r="I6" s="18" t="s">
        <v>99</v>
      </c>
      <c r="J6" s="17">
        <v>1</v>
      </c>
    </row>
    <row r="7" spans="1:10" ht="15.75" thickBot="1" x14ac:dyDescent="0.3">
      <c r="A7" s="1"/>
      <c r="B7" s="21">
        <f>ROW(B7) - ROW($B$2)</f>
        <v>5</v>
      </c>
      <c r="C7" s="16" t="s">
        <v>42</v>
      </c>
      <c r="D7" s="15" t="s">
        <v>13</v>
      </c>
      <c r="E7" s="16" t="s">
        <v>42</v>
      </c>
      <c r="F7" s="15" t="s">
        <v>58</v>
      </c>
      <c r="G7" s="16"/>
      <c r="H7" s="15" t="s">
        <v>86</v>
      </c>
      <c r="I7" s="16" t="s">
        <v>100</v>
      </c>
      <c r="J7" s="15">
        <v>1</v>
      </c>
    </row>
    <row r="8" spans="1:10" ht="15.75" thickBot="1" x14ac:dyDescent="0.3">
      <c r="A8" s="1"/>
      <c r="B8" s="21">
        <f t="shared" si="0"/>
        <v>6</v>
      </c>
      <c r="C8" s="16" t="s">
        <v>42</v>
      </c>
      <c r="D8" s="17" t="s">
        <v>14</v>
      </c>
      <c r="E8" s="18" t="s">
        <v>42</v>
      </c>
      <c r="F8" s="17" t="s">
        <v>58</v>
      </c>
      <c r="G8" s="18"/>
      <c r="H8" s="17" t="s">
        <v>86</v>
      </c>
      <c r="I8" s="18" t="s">
        <v>101</v>
      </c>
      <c r="J8" s="17">
        <v>1</v>
      </c>
    </row>
    <row r="9" spans="1:10" ht="15.75" thickBot="1" x14ac:dyDescent="0.3">
      <c r="A9" s="1"/>
      <c r="B9" s="21">
        <f>ROW(B9) - ROW($B$2)</f>
        <v>7</v>
      </c>
      <c r="C9" s="16" t="s">
        <v>42</v>
      </c>
      <c r="D9" s="15" t="s">
        <v>15</v>
      </c>
      <c r="E9" s="16" t="s">
        <v>42</v>
      </c>
      <c r="F9" s="15" t="s">
        <v>58</v>
      </c>
      <c r="G9" s="16"/>
      <c r="H9" s="15"/>
      <c r="I9" s="16" t="s">
        <v>102</v>
      </c>
      <c r="J9" s="15">
        <v>1</v>
      </c>
    </row>
    <row r="10" spans="1:10" ht="15.75" thickBot="1" x14ac:dyDescent="0.3">
      <c r="A10" s="1"/>
      <c r="B10" s="21">
        <f t="shared" si="0"/>
        <v>8</v>
      </c>
      <c r="C10" s="16" t="s">
        <v>42</v>
      </c>
      <c r="D10" s="17" t="s">
        <v>16</v>
      </c>
      <c r="E10" s="18" t="s">
        <v>42</v>
      </c>
      <c r="F10" s="17" t="s">
        <v>58</v>
      </c>
      <c r="G10" s="18"/>
      <c r="H10" s="17" t="s">
        <v>86</v>
      </c>
      <c r="I10" s="18" t="s">
        <v>103</v>
      </c>
      <c r="J10" s="17">
        <v>1</v>
      </c>
    </row>
    <row r="11" spans="1:10" ht="15.75" thickBot="1" x14ac:dyDescent="0.3">
      <c r="A11" s="1"/>
      <c r="B11" s="21">
        <f>ROW(B11) - ROW($B$2)</f>
        <v>9</v>
      </c>
      <c r="C11" s="16" t="s">
        <v>42</v>
      </c>
      <c r="D11" s="15" t="s">
        <v>17</v>
      </c>
      <c r="E11" s="16" t="s">
        <v>42</v>
      </c>
      <c r="F11" s="15" t="s">
        <v>58</v>
      </c>
      <c r="G11" s="16"/>
      <c r="H11" s="15"/>
      <c r="I11" s="16" t="s">
        <v>104</v>
      </c>
      <c r="J11" s="15">
        <v>1</v>
      </c>
    </row>
    <row r="12" spans="1:10" ht="15.75" thickBot="1" x14ac:dyDescent="0.3">
      <c r="A12" s="1"/>
      <c r="B12" s="21">
        <f t="shared" si="0"/>
        <v>10</v>
      </c>
      <c r="C12" s="23" t="s">
        <v>123</v>
      </c>
      <c r="D12" s="17" t="s">
        <v>18</v>
      </c>
      <c r="E12" s="18" t="s">
        <v>123</v>
      </c>
      <c r="F12" s="17" t="s">
        <v>60</v>
      </c>
      <c r="G12" s="18"/>
      <c r="H12" s="17"/>
      <c r="I12" s="18" t="s">
        <v>105</v>
      </c>
      <c r="J12" s="17">
        <v>3</v>
      </c>
    </row>
    <row r="13" spans="1:10" ht="24.75" thickBot="1" x14ac:dyDescent="0.3">
      <c r="A13" s="1"/>
      <c r="B13" s="21">
        <f>ROW(B13) - ROW($B$2)</f>
        <v>11</v>
      </c>
      <c r="C13" s="24" t="s">
        <v>128</v>
      </c>
      <c r="D13" s="15" t="s">
        <v>19</v>
      </c>
      <c r="E13" s="16" t="s">
        <v>128</v>
      </c>
      <c r="F13" s="15" t="s">
        <v>61</v>
      </c>
      <c r="G13" s="16"/>
      <c r="H13" s="15" t="s">
        <v>87</v>
      </c>
      <c r="I13" s="16" t="s">
        <v>106</v>
      </c>
      <c r="J13" s="15">
        <v>1</v>
      </c>
    </row>
    <row r="14" spans="1:10" ht="15.75" thickBot="1" x14ac:dyDescent="0.3">
      <c r="A14" s="1"/>
      <c r="B14" s="21">
        <f t="shared" si="0"/>
        <v>12</v>
      </c>
      <c r="C14" s="23" t="s">
        <v>127</v>
      </c>
      <c r="D14" s="17" t="s">
        <v>20</v>
      </c>
      <c r="E14" s="18" t="s">
        <v>43</v>
      </c>
      <c r="F14" s="17" t="s">
        <v>62</v>
      </c>
      <c r="G14" s="18"/>
      <c r="H14" s="17"/>
      <c r="I14" s="18" t="s">
        <v>107</v>
      </c>
      <c r="J14" s="17">
        <v>1</v>
      </c>
    </row>
    <row r="15" spans="1:10" ht="15.75" thickBot="1" x14ac:dyDescent="0.3">
      <c r="A15" s="1"/>
      <c r="B15" s="21">
        <f>ROW(B15) - ROW($B$2)</f>
        <v>13</v>
      </c>
      <c r="C15" s="23" t="s">
        <v>127</v>
      </c>
      <c r="D15" s="15" t="s">
        <v>21</v>
      </c>
      <c r="E15" s="16" t="s">
        <v>44</v>
      </c>
      <c r="F15" s="15" t="s">
        <v>63</v>
      </c>
      <c r="G15" s="16"/>
      <c r="H15" s="15"/>
      <c r="I15" s="16" t="s">
        <v>108</v>
      </c>
      <c r="J15" s="15">
        <v>1</v>
      </c>
    </row>
    <row r="16" spans="1:10" ht="48.75" thickBot="1" x14ac:dyDescent="0.3">
      <c r="A16" s="1"/>
      <c r="B16" s="21">
        <f t="shared" si="0"/>
        <v>14</v>
      </c>
      <c r="C16" s="23" t="s">
        <v>2</v>
      </c>
      <c r="D16" s="17" t="s">
        <v>22</v>
      </c>
      <c r="E16" s="18" t="s">
        <v>45</v>
      </c>
      <c r="F16" s="17" t="s">
        <v>64</v>
      </c>
      <c r="G16" s="18" t="s">
        <v>80</v>
      </c>
      <c r="H16" s="17" t="s">
        <v>88</v>
      </c>
      <c r="I16" s="18" t="s">
        <v>80</v>
      </c>
      <c r="J16" s="17">
        <v>1</v>
      </c>
    </row>
    <row r="17" spans="1:10" ht="15.75" thickBot="1" x14ac:dyDescent="0.3">
      <c r="A17" s="1"/>
      <c r="B17" s="21">
        <f>ROW(B17) - ROW($B$2)</f>
        <v>15</v>
      </c>
      <c r="C17" s="24" t="s">
        <v>126</v>
      </c>
      <c r="D17" s="15" t="s">
        <v>23</v>
      </c>
      <c r="E17" s="16" t="s">
        <v>46</v>
      </c>
      <c r="F17" s="15" t="s">
        <v>65</v>
      </c>
      <c r="G17" s="16"/>
      <c r="H17" s="15"/>
      <c r="I17" s="16" t="s">
        <v>109</v>
      </c>
      <c r="J17" s="15">
        <v>1</v>
      </c>
    </row>
    <row r="18" spans="1:10" ht="15.75" thickBot="1" x14ac:dyDescent="0.3">
      <c r="A18" s="1"/>
      <c r="B18" s="21">
        <f t="shared" si="0"/>
        <v>16</v>
      </c>
      <c r="C18" s="23" t="s">
        <v>125</v>
      </c>
      <c r="D18" s="17" t="s">
        <v>24</v>
      </c>
      <c r="E18" s="23" t="s">
        <v>125</v>
      </c>
      <c r="F18" s="17" t="s">
        <v>66</v>
      </c>
      <c r="G18" s="18"/>
      <c r="H18" s="17"/>
      <c r="I18" s="18" t="s">
        <v>110</v>
      </c>
      <c r="J18" s="17">
        <v>1</v>
      </c>
    </row>
    <row r="19" spans="1:10" ht="15.75" thickBot="1" x14ac:dyDescent="0.3">
      <c r="A19" s="1"/>
      <c r="B19" s="21">
        <f>ROW(B19) - ROW($B$2)</f>
        <v>17</v>
      </c>
      <c r="C19" s="23" t="s">
        <v>123</v>
      </c>
      <c r="D19" s="15" t="s">
        <v>25</v>
      </c>
      <c r="E19" s="16" t="s">
        <v>47</v>
      </c>
      <c r="F19" s="15" t="s">
        <v>67</v>
      </c>
      <c r="G19" s="16"/>
      <c r="H19" s="15"/>
      <c r="I19" s="16" t="s">
        <v>111</v>
      </c>
      <c r="J19" s="15">
        <v>1</v>
      </c>
    </row>
    <row r="20" spans="1:10" ht="15.75" thickBot="1" x14ac:dyDescent="0.3">
      <c r="A20" s="1"/>
      <c r="B20" s="21">
        <f t="shared" si="0"/>
        <v>18</v>
      </c>
      <c r="C20" s="23" t="s">
        <v>124</v>
      </c>
      <c r="D20" s="17" t="s">
        <v>26</v>
      </c>
      <c r="E20" s="23" t="s">
        <v>124</v>
      </c>
      <c r="F20" s="17" t="s">
        <v>68</v>
      </c>
      <c r="G20" s="18"/>
      <c r="H20" s="17" t="s">
        <v>89</v>
      </c>
      <c r="I20" s="18" t="s">
        <v>112</v>
      </c>
      <c r="J20" s="17">
        <v>2</v>
      </c>
    </row>
    <row r="21" spans="1:10" ht="15.75" thickBot="1" x14ac:dyDescent="0.3">
      <c r="A21" s="1"/>
      <c r="B21" s="21">
        <f>ROW(B21) - ROW($B$2)</f>
        <v>19</v>
      </c>
      <c r="C21" s="23" t="s">
        <v>3</v>
      </c>
      <c r="D21" s="15" t="s">
        <v>27</v>
      </c>
      <c r="E21" s="23" t="s">
        <v>3</v>
      </c>
      <c r="F21" s="15" t="s">
        <v>69</v>
      </c>
      <c r="G21" s="16"/>
      <c r="H21" s="15"/>
      <c r="I21" s="16" t="s">
        <v>113</v>
      </c>
      <c r="J21" s="15">
        <v>1</v>
      </c>
    </row>
    <row r="22" spans="1:10" ht="15.75" thickBot="1" x14ac:dyDescent="0.3">
      <c r="A22" s="1"/>
      <c r="B22" s="21">
        <f t="shared" si="0"/>
        <v>20</v>
      </c>
      <c r="C22" s="23" t="s">
        <v>3</v>
      </c>
      <c r="D22" s="17" t="s">
        <v>28</v>
      </c>
      <c r="E22" s="23" t="s">
        <v>3</v>
      </c>
      <c r="F22" s="17" t="s">
        <v>69</v>
      </c>
      <c r="G22" s="18"/>
      <c r="H22" s="17"/>
      <c r="I22" s="18" t="s">
        <v>114</v>
      </c>
      <c r="J22" s="17">
        <v>6</v>
      </c>
    </row>
    <row r="23" spans="1:10" ht="15.75" thickBot="1" x14ac:dyDescent="0.3">
      <c r="A23" s="1"/>
      <c r="B23" s="21">
        <f>ROW(B23) - ROW($B$2)</f>
        <v>21</v>
      </c>
      <c r="C23" s="23" t="s">
        <v>3</v>
      </c>
      <c r="D23" s="15" t="s">
        <v>29</v>
      </c>
      <c r="E23" s="23" t="s">
        <v>3</v>
      </c>
      <c r="F23" s="15" t="s">
        <v>69</v>
      </c>
      <c r="G23" s="16"/>
      <c r="H23" s="15"/>
      <c r="I23" s="16" t="s">
        <v>115</v>
      </c>
      <c r="J23" s="15">
        <v>1</v>
      </c>
    </row>
    <row r="24" spans="1:10" ht="15.75" thickBot="1" x14ac:dyDescent="0.3">
      <c r="A24" s="1"/>
      <c r="B24" s="21">
        <f t="shared" si="0"/>
        <v>22</v>
      </c>
      <c r="C24" s="23" t="s">
        <v>3</v>
      </c>
      <c r="D24" s="17" t="s">
        <v>30</v>
      </c>
      <c r="E24" s="18" t="s">
        <v>48</v>
      </c>
      <c r="F24" s="17" t="s">
        <v>70</v>
      </c>
      <c r="G24" s="18" t="s">
        <v>81</v>
      </c>
      <c r="H24" s="17" t="s">
        <v>90</v>
      </c>
      <c r="I24" s="18" t="s">
        <v>116</v>
      </c>
      <c r="J24" s="17">
        <v>2</v>
      </c>
    </row>
    <row r="25" spans="1:10" ht="15.75" thickBot="1" x14ac:dyDescent="0.3">
      <c r="A25" s="1"/>
      <c r="B25" s="21">
        <f>ROW(B25) - ROW($B$2)</f>
        <v>23</v>
      </c>
      <c r="C25" s="23" t="s">
        <v>3</v>
      </c>
      <c r="D25" s="15" t="s">
        <v>31</v>
      </c>
      <c r="E25" s="23" t="s">
        <v>3</v>
      </c>
      <c r="F25" s="15" t="s">
        <v>69</v>
      </c>
      <c r="G25" s="16"/>
      <c r="H25" s="15"/>
      <c r="I25" s="16" t="s">
        <v>117</v>
      </c>
      <c r="J25" s="15">
        <v>1</v>
      </c>
    </row>
    <row r="26" spans="1:10" ht="15.75" thickBot="1" x14ac:dyDescent="0.3">
      <c r="A26" s="1"/>
      <c r="B26" s="21">
        <f t="shared" si="0"/>
        <v>24</v>
      </c>
      <c r="C26" s="23" t="s">
        <v>3</v>
      </c>
      <c r="D26" s="17" t="s">
        <v>32</v>
      </c>
      <c r="E26" s="18" t="s">
        <v>49</v>
      </c>
      <c r="F26" s="17" t="s">
        <v>70</v>
      </c>
      <c r="G26" s="18" t="s">
        <v>82</v>
      </c>
      <c r="H26" s="17" t="s">
        <v>90</v>
      </c>
      <c r="I26" s="18" t="s">
        <v>118</v>
      </c>
      <c r="J26" s="17">
        <v>1</v>
      </c>
    </row>
    <row r="27" spans="1:10" ht="48.75" thickBot="1" x14ac:dyDescent="0.3">
      <c r="A27" s="1"/>
      <c r="B27" s="21">
        <f>ROW(B27) - ROW($B$2)</f>
        <v>25</v>
      </c>
      <c r="C27" s="24" t="s">
        <v>5</v>
      </c>
      <c r="D27" s="15" t="s">
        <v>33</v>
      </c>
      <c r="E27" s="16" t="s">
        <v>50</v>
      </c>
      <c r="F27" s="15" t="s">
        <v>71</v>
      </c>
      <c r="G27" s="16"/>
      <c r="H27" s="15"/>
      <c r="I27" s="16" t="s">
        <v>119</v>
      </c>
      <c r="J27" s="15">
        <v>1</v>
      </c>
    </row>
    <row r="28" spans="1:10" ht="15.75" thickBot="1" x14ac:dyDescent="0.3">
      <c r="A28" s="1"/>
      <c r="B28" s="21">
        <f t="shared" si="0"/>
        <v>26</v>
      </c>
      <c r="C28" s="24" t="s">
        <v>5</v>
      </c>
      <c r="D28" s="17" t="s">
        <v>34</v>
      </c>
      <c r="E28" s="18"/>
      <c r="F28" s="17" t="s">
        <v>72</v>
      </c>
      <c r="G28" s="18"/>
      <c r="H28" s="17"/>
      <c r="I28" s="18" t="s">
        <v>120</v>
      </c>
      <c r="J28" s="17">
        <v>1</v>
      </c>
    </row>
    <row r="29" spans="1:10" ht="24.75" thickBot="1" x14ac:dyDescent="0.3">
      <c r="A29" s="1"/>
      <c r="B29" s="21">
        <f>ROW(B29) - ROW($B$2)</f>
        <v>27</v>
      </c>
      <c r="C29" s="24" t="s">
        <v>4</v>
      </c>
      <c r="D29" s="15" t="s">
        <v>35</v>
      </c>
      <c r="E29" s="16" t="s">
        <v>51</v>
      </c>
      <c r="F29" s="15" t="s">
        <v>73</v>
      </c>
      <c r="G29" s="16" t="s">
        <v>83</v>
      </c>
      <c r="H29" s="15" t="s">
        <v>91</v>
      </c>
      <c r="I29" s="16" t="s">
        <v>83</v>
      </c>
      <c r="J29" s="15">
        <v>1</v>
      </c>
    </row>
    <row r="30" spans="1:10" ht="15.75" thickBot="1" x14ac:dyDescent="0.3">
      <c r="A30" s="1"/>
      <c r="B30" s="21">
        <f t="shared" si="0"/>
        <v>28</v>
      </c>
      <c r="C30" s="24" t="s">
        <v>5</v>
      </c>
      <c r="D30" s="17" t="s">
        <v>36</v>
      </c>
      <c r="E30" s="18" t="s">
        <v>52</v>
      </c>
      <c r="F30" s="17" t="s">
        <v>74</v>
      </c>
      <c r="G30" s="18"/>
      <c r="H30" s="17"/>
      <c r="I30" s="18" t="s">
        <v>121</v>
      </c>
      <c r="J30" s="17">
        <v>1</v>
      </c>
    </row>
    <row r="31" spans="1:10" ht="15.75" thickBot="1" x14ac:dyDescent="0.3">
      <c r="A31" s="1"/>
      <c r="B31" s="21">
        <f>ROW(B31) - ROW($B$2)</f>
        <v>29</v>
      </c>
      <c r="C31" s="24" t="s">
        <v>5</v>
      </c>
      <c r="D31" s="15" t="s">
        <v>37</v>
      </c>
      <c r="E31" s="16" t="s">
        <v>53</v>
      </c>
      <c r="F31" s="15" t="s">
        <v>75</v>
      </c>
      <c r="G31" s="16" t="s">
        <v>84</v>
      </c>
      <c r="H31" s="15" t="s">
        <v>92</v>
      </c>
      <c r="I31" s="16" t="s">
        <v>84</v>
      </c>
      <c r="J31" s="15">
        <v>1</v>
      </c>
    </row>
    <row r="32" spans="1:10" ht="36.75" thickBot="1" x14ac:dyDescent="0.3">
      <c r="A32" s="1"/>
      <c r="B32" s="21">
        <f t="shared" si="0"/>
        <v>30</v>
      </c>
      <c r="C32" s="24" t="s">
        <v>5</v>
      </c>
      <c r="D32" s="17" t="s">
        <v>38</v>
      </c>
      <c r="E32" s="18" t="s">
        <v>54</v>
      </c>
      <c r="F32" s="17" t="s">
        <v>76</v>
      </c>
      <c r="G32" s="18"/>
      <c r="H32" s="17"/>
      <c r="I32" s="18" t="s">
        <v>76</v>
      </c>
      <c r="J32" s="17">
        <v>1</v>
      </c>
    </row>
    <row r="33" spans="1:10" ht="15.75" thickBot="1" x14ac:dyDescent="0.3">
      <c r="A33" s="1"/>
      <c r="B33" s="21">
        <f>ROW(B33) - ROW($B$2)</f>
        <v>31</v>
      </c>
      <c r="C33" s="24" t="s">
        <v>6</v>
      </c>
      <c r="D33" s="15" t="s">
        <v>39</v>
      </c>
      <c r="E33" s="16" t="s">
        <v>55</v>
      </c>
      <c r="F33" s="15" t="s">
        <v>77</v>
      </c>
      <c r="G33" s="16" t="s">
        <v>77</v>
      </c>
      <c r="H33" s="15" t="s">
        <v>93</v>
      </c>
      <c r="I33" s="16" t="s">
        <v>77</v>
      </c>
      <c r="J33" s="15">
        <v>1</v>
      </c>
    </row>
    <row r="34" spans="1:10" ht="36.75" thickBot="1" x14ac:dyDescent="0.3">
      <c r="A34" s="1"/>
      <c r="B34" s="21">
        <f t="shared" si="0"/>
        <v>32</v>
      </c>
      <c r="C34" s="23" t="s">
        <v>7</v>
      </c>
      <c r="D34" s="17" t="s">
        <v>40</v>
      </c>
      <c r="E34" s="18" t="s">
        <v>56</v>
      </c>
      <c r="F34" s="17" t="s">
        <v>78</v>
      </c>
      <c r="G34" s="18" t="s">
        <v>78</v>
      </c>
      <c r="H34" s="17" t="s">
        <v>94</v>
      </c>
      <c r="I34" s="18" t="s">
        <v>78</v>
      </c>
      <c r="J34" s="17">
        <v>1</v>
      </c>
    </row>
    <row r="35" spans="1:10" x14ac:dyDescent="0.25">
      <c r="A35" s="1"/>
      <c r="B35" s="10"/>
      <c r="C35" s="19"/>
      <c r="D35" s="11"/>
      <c r="E35" s="12"/>
      <c r="F35" s="13"/>
      <c r="G35" s="14"/>
      <c r="H35" s="13"/>
      <c r="I35" s="14"/>
      <c r="J35" s="14"/>
    </row>
    <row r="36" spans="1:10" ht="15.75" thickBot="1" x14ac:dyDescent="0.3">
      <c r="A36" s="1"/>
      <c r="B36" s="6"/>
      <c r="C36" s="20"/>
      <c r="D36" s="3"/>
      <c r="E36" s="4"/>
      <c r="F36" s="4"/>
      <c r="G36" s="4"/>
      <c r="H36" s="4"/>
      <c r="I36" s="4"/>
      <c r="J36" s="4"/>
    </row>
  </sheetData>
  <mergeCells count="1">
    <mergeCell ref="I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 Cons Group</cp:lastModifiedBy>
  <dcterms:created xsi:type="dcterms:W3CDTF">2019-12-12T10:34:26Z</dcterms:created>
  <dcterms:modified xsi:type="dcterms:W3CDTF">2024-05-13T15:32:22Z</dcterms:modified>
</cp:coreProperties>
</file>