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antonmeyer-pcbtroubleshoot\Design_Files\Project Outputs for ESP32-C3FH4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42" i="1" l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<sst xmlns="http://schemas.openxmlformats.org/spreadsheetml/2006/main" count="200" uniqueCount="147">
  <si>
    <t>#</t>
  </si>
  <si>
    <t>Item Type</t>
  </si>
  <si>
    <t>Capacitor</t>
  </si>
  <si>
    <t>Resistor</t>
  </si>
  <si>
    <t>Type-C SMD USB</t>
  </si>
  <si>
    <t>Designator</t>
  </si>
  <si>
    <t>ANT1</t>
  </si>
  <si>
    <t>C1</t>
  </si>
  <si>
    <t>C2, C5, C7, C9, C13, C18, C19, C20, C21, C22, C24, C29</t>
  </si>
  <si>
    <t>C3, C4</t>
  </si>
  <si>
    <t>C6, C8</t>
  </si>
  <si>
    <t>C10, C11</t>
  </si>
  <si>
    <t>C12</t>
  </si>
  <si>
    <t>C14</t>
  </si>
  <si>
    <t>C15</t>
  </si>
  <si>
    <t>C16</t>
  </si>
  <si>
    <t>C17</t>
  </si>
  <si>
    <t>C23</t>
  </si>
  <si>
    <t>C25</t>
  </si>
  <si>
    <t>C26</t>
  </si>
  <si>
    <t>C27</t>
  </si>
  <si>
    <t>C28</t>
  </si>
  <si>
    <t>ESD1, ESD2, ESD3</t>
  </si>
  <si>
    <t>F6</t>
  </si>
  <si>
    <t>J1</t>
  </si>
  <si>
    <t>JP1</t>
  </si>
  <si>
    <t>JP2</t>
  </si>
  <si>
    <t>KEY1</t>
  </si>
  <si>
    <t>L1</t>
  </si>
  <si>
    <t>L2</t>
  </si>
  <si>
    <t>LED1</t>
  </si>
  <si>
    <t>Q1, Q2</t>
  </si>
  <si>
    <t>R1</t>
  </si>
  <si>
    <t>R2, R4, R8, R11</t>
  </si>
  <si>
    <t>R3</t>
  </si>
  <si>
    <t>R5, R6</t>
  </si>
  <si>
    <t>R12</t>
  </si>
  <si>
    <t>R24</t>
  </si>
  <si>
    <t>U</t>
  </si>
  <si>
    <t>U1</t>
  </si>
  <si>
    <t>U2</t>
  </si>
  <si>
    <t>U3</t>
  </si>
  <si>
    <t>U4</t>
  </si>
  <si>
    <t>U5</t>
  </si>
  <si>
    <t>USB1</t>
  </si>
  <si>
    <t>X1</t>
  </si>
  <si>
    <t>Description</t>
  </si>
  <si>
    <t>PCB板载天线</t>
  </si>
  <si>
    <t>Polarized Capacitor (Axial)</t>
  </si>
  <si>
    <t>50V 330pF X7R ±10% 0402 Multilayer Ceramic Capacitors MLCC - SMD/SMT ROHS</t>
  </si>
  <si>
    <t>USB to Serial Port Chip</t>
  </si>
  <si>
    <t>5P接插件</t>
  </si>
  <si>
    <t>2P接插件</t>
  </si>
  <si>
    <t>直插6x6轻触开关</t>
  </si>
  <si>
    <t>5mm草帽LED</t>
  </si>
  <si>
    <t>RES 5.1K OHM 1% 1/16W 0402</t>
  </si>
  <si>
    <t>4.5V to 23V Input, 3A Synchronous Step-Down Converter with D-CAP2 Mode and Light Load Efficiency 8-SO PowerPAD -40 to 85</t>
  </si>
  <si>
    <t>RF System on a Chip - SoC SMD Wi-Fi IC ESP32-S2FN4R2, single-core MCU, 4 MB flash and 2 MB PSRAM inside, QFN 56-pin, 7*7 mm</t>
  </si>
  <si>
    <t>达林顿驱动芯片</t>
  </si>
  <si>
    <t>ULTRASONIC SENSOR I/F FOR PARK A</t>
  </si>
  <si>
    <t>INTEGRATED LIGHT SOURCE INTELLIGENT CONTROL OF_x000D_
CHIP-ON-TOP SMD TYPE LED</t>
  </si>
  <si>
    <t>3A 1 Surface Mount，Right Angle 16P Female -40℃~+85℃ Type-C SMD USB Connectors ROHS</t>
  </si>
  <si>
    <t>MC系列4脚晶振</t>
  </si>
  <si>
    <t>Footprint</t>
  </si>
  <si>
    <t>2.4GÌìÏß</t>
  </si>
  <si>
    <t>INDC3216</t>
  </si>
  <si>
    <t>C 0402_L</t>
  </si>
  <si>
    <t>C0805</t>
  </si>
  <si>
    <t>Cap-0402</t>
  </si>
  <si>
    <t>X1-DFN1006-2_L1.0-W0.6-RD</t>
  </si>
  <si>
    <t>R 0805_L</t>
  </si>
  <si>
    <t>*SOP100P600X160-11N</t>
  </si>
  <si>
    <t>XH2.54-LI-5P</t>
  </si>
  <si>
    <t>SENSOR-TH_GU12XXC-40XX</t>
  </si>
  <si>
    <t>TSW SMD-6*6*5</t>
  </si>
  <si>
    <t>R 0402_L</t>
  </si>
  <si>
    <t>IND_CLF7045T-3R3N-D</t>
  </si>
  <si>
    <t>LED 0603B</t>
  </si>
  <si>
    <t>SOT23-3L</t>
  </si>
  <si>
    <t>Res-0402</t>
  </si>
  <si>
    <t>VREG_LM5017MR/NOPB</t>
  </si>
  <si>
    <t>HDR-TH_5P-P1.27-V-M</t>
  </si>
  <si>
    <t>QFN40P700X700X90-57N</t>
  </si>
  <si>
    <t>SOP16</t>
  </si>
  <si>
    <t>QFN50P400X400X80-21N</t>
  </si>
  <si>
    <t>SK6812 SIDE-A</t>
  </si>
  <si>
    <t>KH-TYPE-C-16P</t>
  </si>
  <si>
    <t>OSC 2016-4P</t>
  </si>
  <si>
    <t>Manufacturer Part Number</t>
  </si>
  <si>
    <t>CC0402KRX7R9BB331</t>
  </si>
  <si>
    <t>RC0402FR-075K1L</t>
  </si>
  <si>
    <t>Manufacturer</t>
  </si>
  <si>
    <t>Generic Components</t>
  </si>
  <si>
    <t>YAGEO</t>
  </si>
  <si>
    <t>Jinrui Electronic Materials Co.</t>
  </si>
  <si>
    <t>WPMtek(维攀微)</t>
  </si>
  <si>
    <t>Yageo</t>
  </si>
  <si>
    <t>Shenzhen Kinghelm Elec</t>
  </si>
  <si>
    <t>2.4G</t>
  </si>
  <si>
    <t>CA45A-A-25V-2.2UF-K</t>
  </si>
  <si>
    <t>0.1uF/25V</t>
  </si>
  <si>
    <t>0.4pF/25V</t>
  </si>
  <si>
    <t>10uF/10V</t>
  </si>
  <si>
    <t>20pF/25V</t>
  </si>
  <si>
    <t>1uF/10V</t>
  </si>
  <si>
    <t>22uF/10V</t>
  </si>
  <si>
    <t>10pF/10V</t>
  </si>
  <si>
    <t>8.2nF/25V</t>
  </si>
  <si>
    <t>22uF/25V</t>
  </si>
  <si>
    <t>10nF/25V</t>
  </si>
  <si>
    <t>330pF</t>
  </si>
  <si>
    <t>15nF/25V</t>
  </si>
  <si>
    <t>0.1uF/10V</t>
  </si>
  <si>
    <t>1uF/25V</t>
  </si>
  <si>
    <t>ESD5311N-2/TR</t>
  </si>
  <si>
    <t>6V1A</t>
  </si>
  <si>
    <t>CH340K</t>
  </si>
  <si>
    <t>HDR-1X5</t>
  </si>
  <si>
    <t>超声波探头_C242180</t>
  </si>
  <si>
    <t>6*6*5</t>
  </si>
  <si>
    <t>0R1%</t>
  </si>
  <si>
    <t>CLF7045T-3R3N-D</t>
  </si>
  <si>
    <t>GREEN</t>
  </si>
  <si>
    <t>S8050</t>
  </si>
  <si>
    <t>1K</t>
  </si>
  <si>
    <t>10K</t>
  </si>
  <si>
    <t>84.5K</t>
  </si>
  <si>
    <t>5.1K</t>
  </si>
  <si>
    <t>25.5K</t>
  </si>
  <si>
    <t>200R</t>
  </si>
  <si>
    <t>TPS54339DDA</t>
  </si>
  <si>
    <t>HLK-LD2410B</t>
  </si>
  <si>
    <t>ESP32-S2FN4R2</t>
  </si>
  <si>
    <t>ULN2003</t>
  </si>
  <si>
    <t>TUSS4470TRTJT</t>
  </si>
  <si>
    <t>40MHz</t>
  </si>
  <si>
    <t>Quantity</t>
  </si>
  <si>
    <t>Antenna</t>
  </si>
  <si>
    <t>Diodes</t>
  </si>
  <si>
    <t>Fuse</t>
  </si>
  <si>
    <t>IC</t>
  </si>
  <si>
    <t>LED</t>
  </si>
  <si>
    <t>Crystal Oscillator</t>
  </si>
  <si>
    <t>Value</t>
  </si>
  <si>
    <t>Remarks</t>
  </si>
  <si>
    <t>Transistor</t>
  </si>
  <si>
    <t>Inductor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</si>
</sst>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2"/>
  <sheetViews>
    <sheetView tabSelected="1" topLeftCell="D1" zoomScaleNormal="100" workbookViewId="0">
      <selection activeCell="C21" sqref="C21:C2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0.140625" bestFit="1" customWidth="1"/>
    <col min="9" max="9" width="16.710937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5</v>
      </c>
      <c r="E2" s="6" t="s">
        <v>46</v>
      </c>
      <c r="F2" s="5" t="s">
        <v>63</v>
      </c>
      <c r="G2" s="6" t="s">
        <v>88</v>
      </c>
      <c r="H2" s="5" t="s">
        <v>91</v>
      </c>
      <c r="I2" s="6" t="s">
        <v>143</v>
      </c>
      <c r="J2" s="5" t="s">
        <v>136</v>
      </c>
      <c r="K2" s="5" t="s">
        <v>144</v>
      </c>
    </row>
    <row r="3" spans="1:11" ht="15.75" thickBot="1" x14ac:dyDescent="0.3">
      <c r="A3" s="1"/>
      <c r="B3" s="11">
        <f>ROW(B3) - ROW($B$2)</f>
        <v>1</v>
      </c>
      <c r="C3" s="12" t="s">
        <v>137</v>
      </c>
      <c r="D3" s="7" t="s">
        <v>6</v>
      </c>
      <c r="E3" s="8" t="s">
        <v>47</v>
      </c>
      <c r="F3" s="7" t="s">
        <v>64</v>
      </c>
      <c r="G3" s="8"/>
      <c r="H3" s="7"/>
      <c r="I3" s="8" t="s">
        <v>98</v>
      </c>
      <c r="J3" s="7">
        <v>1</v>
      </c>
      <c r="K3" s="7"/>
    </row>
    <row r="4" spans="1:11" ht="15.75" thickBot="1" x14ac:dyDescent="0.3">
      <c r="A4" s="1"/>
      <c r="B4" s="11">
        <f t="shared" ref="B4:B42" si="0">ROW(B4) - ROW($B$2)</f>
        <v>2</v>
      </c>
      <c r="C4" s="12" t="s">
        <v>2</v>
      </c>
      <c r="D4" s="9" t="s">
        <v>7</v>
      </c>
      <c r="E4" s="10" t="s">
        <v>48</v>
      </c>
      <c r="F4" s="9" t="s">
        <v>65</v>
      </c>
      <c r="G4" s="10"/>
      <c r="H4" s="9"/>
      <c r="I4" s="10" t="s">
        <v>99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8</v>
      </c>
      <c r="E5" s="8"/>
      <c r="F5" s="7" t="s">
        <v>66</v>
      </c>
      <c r="G5" s="8"/>
      <c r="H5" s="7"/>
      <c r="I5" s="8" t="s">
        <v>100</v>
      </c>
      <c r="J5" s="7">
        <v>12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9</v>
      </c>
      <c r="E6" s="10"/>
      <c r="F6" s="9" t="s">
        <v>66</v>
      </c>
      <c r="G6" s="10"/>
      <c r="H6" s="9"/>
      <c r="I6" s="10" t="s">
        <v>101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10</v>
      </c>
      <c r="E7" s="8"/>
      <c r="F7" s="7" t="s">
        <v>66</v>
      </c>
      <c r="G7" s="8"/>
      <c r="H7" s="7"/>
      <c r="I7" s="8" t="s">
        <v>102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11</v>
      </c>
      <c r="E8" s="10"/>
      <c r="F8" s="9" t="s">
        <v>66</v>
      </c>
      <c r="G8" s="10"/>
      <c r="H8" s="9"/>
      <c r="I8" s="10" t="s">
        <v>103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12</v>
      </c>
      <c r="E9" s="8"/>
      <c r="F9" s="7" t="s">
        <v>66</v>
      </c>
      <c r="G9" s="8"/>
      <c r="H9" s="7"/>
      <c r="I9" s="8" t="s">
        <v>104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13</v>
      </c>
      <c r="E10" s="10" t="s">
        <v>2</v>
      </c>
      <c r="F10" s="9" t="s">
        <v>66</v>
      </c>
      <c r="G10" s="10"/>
      <c r="H10" s="9" t="s">
        <v>92</v>
      </c>
      <c r="I10" s="10" t="s">
        <v>105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14</v>
      </c>
      <c r="E11" s="8" t="s">
        <v>2</v>
      </c>
      <c r="F11" s="7" t="s">
        <v>66</v>
      </c>
      <c r="G11" s="8"/>
      <c r="H11" s="7" t="s">
        <v>92</v>
      </c>
      <c r="I11" s="8" t="s">
        <v>106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15</v>
      </c>
      <c r="E12" s="10"/>
      <c r="F12" s="9" t="s">
        <v>66</v>
      </c>
      <c r="G12" s="10"/>
      <c r="H12" s="9"/>
      <c r="I12" s="10" t="s">
        <v>107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16</v>
      </c>
      <c r="E13" s="8"/>
      <c r="F13" s="7" t="s">
        <v>67</v>
      </c>
      <c r="G13" s="8"/>
      <c r="H13" s="7"/>
      <c r="I13" s="8" t="s">
        <v>108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17</v>
      </c>
      <c r="E14" s="10"/>
      <c r="F14" s="9" t="s">
        <v>66</v>
      </c>
      <c r="G14" s="10"/>
      <c r="H14" s="9"/>
      <c r="I14" s="10" t="s">
        <v>109</v>
      </c>
      <c r="J14" s="9">
        <v>1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2</v>
      </c>
      <c r="D15" s="7" t="s">
        <v>18</v>
      </c>
      <c r="E15" s="8" t="s">
        <v>49</v>
      </c>
      <c r="F15" s="7" t="s">
        <v>68</v>
      </c>
      <c r="G15" s="8" t="s">
        <v>89</v>
      </c>
      <c r="H15" s="7" t="s">
        <v>93</v>
      </c>
      <c r="I15" s="8" t="s">
        <v>110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2</v>
      </c>
      <c r="D16" s="9" t="s">
        <v>19</v>
      </c>
      <c r="E16" s="10"/>
      <c r="F16" s="9" t="s">
        <v>66</v>
      </c>
      <c r="G16" s="10"/>
      <c r="H16" s="9"/>
      <c r="I16" s="10" t="s">
        <v>111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20</v>
      </c>
      <c r="E17" s="8" t="s">
        <v>2</v>
      </c>
      <c r="F17" s="7" t="s">
        <v>66</v>
      </c>
      <c r="G17" s="8"/>
      <c r="H17" s="7" t="s">
        <v>92</v>
      </c>
      <c r="I17" s="8" t="s">
        <v>112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2</v>
      </c>
      <c r="D18" s="9" t="s">
        <v>21</v>
      </c>
      <c r="E18" s="10"/>
      <c r="F18" s="9" t="s">
        <v>66</v>
      </c>
      <c r="G18" s="10"/>
      <c r="H18" s="9"/>
      <c r="I18" s="10" t="s">
        <v>113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138</v>
      </c>
      <c r="D19" s="7" t="s">
        <v>22</v>
      </c>
      <c r="E19" s="8"/>
      <c r="F19" s="7" t="s">
        <v>69</v>
      </c>
      <c r="G19" s="8"/>
      <c r="H19" s="7"/>
      <c r="I19" s="8" t="s">
        <v>114</v>
      </c>
      <c r="J19" s="7">
        <v>3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139</v>
      </c>
      <c r="D20" s="9" t="s">
        <v>23</v>
      </c>
      <c r="E20" s="10"/>
      <c r="F20" s="9" t="s">
        <v>70</v>
      </c>
      <c r="G20" s="10"/>
      <c r="H20" s="9" t="s">
        <v>94</v>
      </c>
      <c r="I20" s="10" t="s">
        <v>115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140</v>
      </c>
      <c r="D21" s="7" t="s">
        <v>24</v>
      </c>
      <c r="E21" s="8" t="s">
        <v>50</v>
      </c>
      <c r="F21" s="7" t="s">
        <v>71</v>
      </c>
      <c r="G21" s="8"/>
      <c r="H21" s="7"/>
      <c r="I21" s="8" t="s">
        <v>116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2" t="s">
        <v>140</v>
      </c>
      <c r="D22" s="9" t="s">
        <v>25</v>
      </c>
      <c r="E22" s="10" t="s">
        <v>51</v>
      </c>
      <c r="F22" s="9" t="s">
        <v>72</v>
      </c>
      <c r="G22" s="10"/>
      <c r="H22" s="9"/>
      <c r="I22" s="10" t="s">
        <v>117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140</v>
      </c>
      <c r="D23" s="7" t="s">
        <v>26</v>
      </c>
      <c r="E23" s="8" t="s">
        <v>52</v>
      </c>
      <c r="F23" s="7" t="s">
        <v>73</v>
      </c>
      <c r="G23" s="8"/>
      <c r="H23" s="7"/>
      <c r="I23" s="8" t="s">
        <v>118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140</v>
      </c>
      <c r="D24" s="9" t="s">
        <v>27</v>
      </c>
      <c r="E24" s="10" t="s">
        <v>53</v>
      </c>
      <c r="F24" s="9" t="s">
        <v>74</v>
      </c>
      <c r="G24" s="10"/>
      <c r="H24" s="9"/>
      <c r="I24" s="10" t="s">
        <v>119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146</v>
      </c>
      <c r="D25" s="7" t="s">
        <v>28</v>
      </c>
      <c r="E25" s="8"/>
      <c r="F25" s="7" t="s">
        <v>75</v>
      </c>
      <c r="G25" s="8"/>
      <c r="H25" s="7"/>
      <c r="I25" s="8" t="s">
        <v>120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2" t="s">
        <v>146</v>
      </c>
      <c r="D26" s="9" t="s">
        <v>29</v>
      </c>
      <c r="E26" s="10"/>
      <c r="F26" s="9" t="s">
        <v>76</v>
      </c>
      <c r="G26" s="10"/>
      <c r="H26" s="9"/>
      <c r="I26" s="10" t="s">
        <v>121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141</v>
      </c>
      <c r="D27" s="7" t="s">
        <v>30</v>
      </c>
      <c r="E27" s="8" t="s">
        <v>54</v>
      </c>
      <c r="F27" s="7" t="s">
        <v>77</v>
      </c>
      <c r="G27" s="8"/>
      <c r="H27" s="7"/>
      <c r="I27" s="8" t="s">
        <v>122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145</v>
      </c>
      <c r="D28" s="9" t="s">
        <v>31</v>
      </c>
      <c r="E28" s="10"/>
      <c r="F28" s="9" t="s">
        <v>78</v>
      </c>
      <c r="G28" s="10"/>
      <c r="H28" s="9" t="s">
        <v>95</v>
      </c>
      <c r="I28" s="10" t="s">
        <v>123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3" t="s">
        <v>3</v>
      </c>
      <c r="D29" s="7" t="s">
        <v>32</v>
      </c>
      <c r="E29" s="8"/>
      <c r="F29" s="7" t="s">
        <v>75</v>
      </c>
      <c r="G29" s="8"/>
      <c r="H29" s="7"/>
      <c r="I29" s="8" t="s">
        <v>124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3</v>
      </c>
      <c r="D30" s="9" t="s">
        <v>33</v>
      </c>
      <c r="E30" s="10"/>
      <c r="F30" s="9" t="s">
        <v>75</v>
      </c>
      <c r="G30" s="10"/>
      <c r="H30" s="9"/>
      <c r="I30" s="10" t="s">
        <v>125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3" t="s">
        <v>3</v>
      </c>
      <c r="D31" s="7" t="s">
        <v>34</v>
      </c>
      <c r="E31" s="8"/>
      <c r="F31" s="7" t="s">
        <v>75</v>
      </c>
      <c r="G31" s="8"/>
      <c r="H31" s="7"/>
      <c r="I31" s="8" t="s">
        <v>126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3</v>
      </c>
      <c r="D32" s="9" t="s">
        <v>35</v>
      </c>
      <c r="E32" s="10" t="s">
        <v>55</v>
      </c>
      <c r="F32" s="9" t="s">
        <v>79</v>
      </c>
      <c r="G32" s="10" t="s">
        <v>90</v>
      </c>
      <c r="H32" s="9" t="s">
        <v>96</v>
      </c>
      <c r="I32" s="10" t="s">
        <v>127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3</v>
      </c>
      <c r="D33" s="7" t="s">
        <v>36</v>
      </c>
      <c r="E33" s="8"/>
      <c r="F33" s="7" t="s">
        <v>75</v>
      </c>
      <c r="G33" s="8"/>
      <c r="H33" s="7"/>
      <c r="I33" s="8" t="s">
        <v>128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3</v>
      </c>
      <c r="D34" s="9" t="s">
        <v>37</v>
      </c>
      <c r="E34" s="10"/>
      <c r="F34" s="9" t="s">
        <v>75</v>
      </c>
      <c r="G34" s="10"/>
      <c r="H34" s="9"/>
      <c r="I34" s="10" t="s">
        <v>129</v>
      </c>
      <c r="J34" s="9">
        <v>1</v>
      </c>
      <c r="K34" s="9"/>
    </row>
    <row r="35" spans="1:11" ht="48.75" thickBot="1" x14ac:dyDescent="0.3">
      <c r="A35" s="1"/>
      <c r="B35" s="11">
        <f>ROW(B35) - ROW($B$2)</f>
        <v>33</v>
      </c>
      <c r="C35" s="12" t="s">
        <v>140</v>
      </c>
      <c r="D35" s="7" t="s">
        <v>38</v>
      </c>
      <c r="E35" s="8" t="s">
        <v>56</v>
      </c>
      <c r="F35" s="7" t="s">
        <v>80</v>
      </c>
      <c r="G35" s="8"/>
      <c r="H35" s="7"/>
      <c r="I35" s="8" t="s">
        <v>130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2" t="s">
        <v>140</v>
      </c>
      <c r="D36" s="9" t="s">
        <v>39</v>
      </c>
      <c r="E36" s="10"/>
      <c r="F36" s="9" t="s">
        <v>81</v>
      </c>
      <c r="G36" s="10"/>
      <c r="H36" s="9"/>
      <c r="I36" s="10" t="s">
        <v>131</v>
      </c>
      <c r="J36" s="9">
        <v>1</v>
      </c>
      <c r="K36" s="9"/>
    </row>
    <row r="37" spans="1:11" ht="48.75" thickBot="1" x14ac:dyDescent="0.3">
      <c r="A37" s="1"/>
      <c r="B37" s="11">
        <f>ROW(B37) - ROW($B$2)</f>
        <v>35</v>
      </c>
      <c r="C37" s="12" t="s">
        <v>140</v>
      </c>
      <c r="D37" s="7" t="s">
        <v>40</v>
      </c>
      <c r="E37" s="8" t="s">
        <v>57</v>
      </c>
      <c r="F37" s="7" t="s">
        <v>82</v>
      </c>
      <c r="G37" s="8"/>
      <c r="H37" s="7"/>
      <c r="I37" s="8" t="s">
        <v>132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2" t="s">
        <v>140</v>
      </c>
      <c r="D38" s="9" t="s">
        <v>41</v>
      </c>
      <c r="E38" s="10" t="s">
        <v>58</v>
      </c>
      <c r="F38" s="9" t="s">
        <v>83</v>
      </c>
      <c r="G38" s="10"/>
      <c r="H38" s="9"/>
      <c r="I38" s="10" t="s">
        <v>133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140</v>
      </c>
      <c r="D39" s="7" t="s">
        <v>42</v>
      </c>
      <c r="E39" s="8" t="s">
        <v>59</v>
      </c>
      <c r="F39" s="7" t="s">
        <v>84</v>
      </c>
      <c r="G39" s="8"/>
      <c r="H39" s="7"/>
      <c r="I39" s="8" t="s">
        <v>134</v>
      </c>
      <c r="J39" s="7">
        <v>1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141</v>
      </c>
      <c r="D40" s="9" t="s">
        <v>43</v>
      </c>
      <c r="E40" s="10" t="s">
        <v>60</v>
      </c>
      <c r="F40" s="9" t="s">
        <v>85</v>
      </c>
      <c r="G40" s="10"/>
      <c r="H40" s="9"/>
      <c r="I40" s="10" t="s">
        <v>85</v>
      </c>
      <c r="J40" s="9">
        <v>1</v>
      </c>
      <c r="K40" s="9"/>
    </row>
    <row r="41" spans="1:11" ht="36.75" thickBot="1" x14ac:dyDescent="0.3">
      <c r="A41" s="1"/>
      <c r="B41" s="11">
        <f>ROW(B41) - ROW($B$2)</f>
        <v>39</v>
      </c>
      <c r="C41" s="12" t="s">
        <v>4</v>
      </c>
      <c r="D41" s="7" t="s">
        <v>44</v>
      </c>
      <c r="E41" s="8" t="s">
        <v>61</v>
      </c>
      <c r="F41" s="7" t="s">
        <v>86</v>
      </c>
      <c r="G41" s="8" t="s">
        <v>86</v>
      </c>
      <c r="H41" s="7" t="s">
        <v>97</v>
      </c>
      <c r="I41" s="8" t="s">
        <v>86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142</v>
      </c>
      <c r="D42" s="9" t="s">
        <v>45</v>
      </c>
      <c r="E42" s="10" t="s">
        <v>62</v>
      </c>
      <c r="F42" s="9" t="s">
        <v>87</v>
      </c>
      <c r="G42" s="10"/>
      <c r="H42" s="9"/>
      <c r="I42" s="10" t="s">
        <v>135</v>
      </c>
      <c r="J42" s="9">
        <v>1</v>
      </c>
      <c r="K4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XPENDER</cp:lastModifiedBy>
  <dcterms:created xsi:type="dcterms:W3CDTF">2019-12-12T10:34:26Z</dcterms:created>
  <dcterms:modified xsi:type="dcterms:W3CDTF">2024-04-19T20:43:54Z</dcterms:modified>
</cp:coreProperties>
</file>